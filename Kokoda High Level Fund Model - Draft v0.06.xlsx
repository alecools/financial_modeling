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24226"/>
  <mc:AlternateContent xmlns:mc="http://schemas.openxmlformats.org/markup-compatibility/2006">
    <mc:Choice Requires="x15">
      <x15ac:absPath xmlns:x15ac="http://schemas.microsoft.com/office/spreadsheetml/2010/11/ac" url="https://kokodaproperty-my.sharepoint.com/personal/mhe_kokodaproperty_com_au/Documents/Desktop/"/>
    </mc:Choice>
  </mc:AlternateContent>
  <xr:revisionPtr revIDLastSave="0" documentId="13_ncr:1_{0535F5C0-019E-40B2-BD83-99C591F4477E}" xr6:coauthVersionLast="47" xr6:coauthVersionMax="47" xr10:uidLastSave="{00000000-0000-0000-0000-000000000000}"/>
  <bookViews>
    <workbookView xWindow="-98" yWindow="-98" windowWidth="21795" windowHeight="13875" tabRatio="492" activeTab="1" xr2:uid="{00000000-000D-0000-FFFF-FFFF00000000}"/>
  </bookViews>
  <sheets>
    <sheet name="Cover" sheetId="5" r:id="rId1"/>
    <sheet name="Key Features" sheetId="15" r:id="rId2"/>
    <sheet name="Assumptions" sheetId="3" r:id="rId3"/>
    <sheet name="Hypothetical" sheetId="13" r:id="rId4"/>
    <sheet name="Sensitivities" sheetId="14" state="hidden" r:id="rId5"/>
  </sheets>
  <definedNames>
    <definedName name="_xlnm.Print_Area" localSheetId="3">Hypothetical!$C$5:$AC$19</definedName>
    <definedName name="_xlnm.Print_Area" localSheetId="4">Sensitivities!$A$4:$T$67</definedName>
    <definedName name="_xlnm.Print_Titles" localSheetId="3">Hypothetical!$C:$J</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3" l="1"/>
  <c r="R26" i="13" s="1"/>
  <c r="R52" i="13" s="1"/>
  <c r="R38" i="13"/>
  <c r="E49" i="13"/>
  <c r="AD146" i="13"/>
  <c r="AE146" i="13"/>
  <c r="AF146" i="13"/>
  <c r="AG146" i="13"/>
  <c r="AH146" i="13"/>
  <c r="AI146" i="13"/>
  <c r="AJ146" i="13"/>
  <c r="AK146" i="13"/>
  <c r="AD147" i="13"/>
  <c r="AE147" i="13"/>
  <c r="AF147" i="13"/>
  <c r="AG147" i="13"/>
  <c r="AH147" i="13"/>
  <c r="AI147" i="13"/>
  <c r="AJ147" i="13"/>
  <c r="AK147" i="13"/>
  <c r="H29" i="13"/>
  <c r="I29" i="13"/>
  <c r="E29" i="13"/>
  <c r="L23" i="13"/>
  <c r="N23" i="13"/>
  <c r="O23" i="13"/>
  <c r="S54" i="13"/>
  <c r="T54" i="13"/>
  <c r="V54" i="13"/>
  <c r="W54" i="13"/>
  <c r="X54" i="13"/>
  <c r="Z54" i="13"/>
  <c r="AA54" i="13"/>
  <c r="AB54" i="13"/>
  <c r="R54" i="13"/>
  <c r="T63" i="13"/>
  <c r="S63" i="13"/>
  <c r="R63" i="13"/>
  <c r="S28" i="13"/>
  <c r="T28" i="13"/>
  <c r="R28" i="13"/>
  <c r="S53" i="13"/>
  <c r="T53" i="13"/>
  <c r="R53" i="13"/>
  <c r="R49" i="13"/>
  <c r="R51" i="13" s="1"/>
  <c r="R36" i="13"/>
  <c r="AC24" i="13"/>
  <c r="AC25" i="13" s="1"/>
  <c r="AC59" i="13" s="1"/>
  <c r="AB24" i="13"/>
  <c r="AB25" i="13" s="1"/>
  <c r="AB59" i="13" s="1"/>
  <c r="AA24" i="13"/>
  <c r="AA25" i="13" s="1"/>
  <c r="AA59" i="13" s="1"/>
  <c r="Z24" i="13"/>
  <c r="Z25" i="13" s="1"/>
  <c r="Z59" i="13" s="1"/>
  <c r="Y24" i="13"/>
  <c r="Y25" i="13" s="1"/>
  <c r="Y59" i="13" s="1"/>
  <c r="X24" i="13"/>
  <c r="X25" i="13" s="1"/>
  <c r="X59" i="13" s="1"/>
  <c r="W24" i="13"/>
  <c r="W25" i="13" s="1"/>
  <c r="W59" i="13" s="1"/>
  <c r="V24" i="13"/>
  <c r="V25" i="13" s="1"/>
  <c r="V59" i="13" s="1"/>
  <c r="U24" i="13"/>
  <c r="U25" i="13" s="1"/>
  <c r="U59" i="13" s="1"/>
  <c r="T24" i="13"/>
  <c r="T25" i="13" s="1"/>
  <c r="T59" i="13" s="1"/>
  <c r="S24" i="13"/>
  <c r="S25" i="13" s="1"/>
  <c r="S59" i="13" s="1"/>
  <c r="R24" i="13"/>
  <c r="R25" i="13" s="1"/>
  <c r="R59" i="13" s="1"/>
  <c r="R23" i="13"/>
  <c r="AK143" i="13"/>
  <c r="AJ143" i="13"/>
  <c r="AI143" i="13"/>
  <c r="AH143" i="13"/>
  <c r="AG143" i="13"/>
  <c r="AF143" i="13"/>
  <c r="AE143" i="13"/>
  <c r="AD143" i="13"/>
  <c r="E33" i="3" l="1"/>
  <c r="S50" i="13"/>
  <c r="V50" i="13"/>
  <c r="T50" i="13"/>
  <c r="U50" i="13"/>
  <c r="R50" i="13"/>
  <c r="Z50" i="13"/>
  <c r="AA50" i="13"/>
  <c r="AB50" i="13"/>
  <c r="AC50" i="13"/>
  <c r="W50" i="13"/>
  <c r="X50" i="13"/>
  <c r="Y50" i="13"/>
  <c r="G59" i="13"/>
  <c r="I59" i="13"/>
  <c r="H59" i="13"/>
  <c r="I24" i="13"/>
  <c r="E25" i="13"/>
  <c r="H24" i="13"/>
  <c r="G25" i="13"/>
  <c r="I25" i="13"/>
  <c r="E59" i="13"/>
  <c r="G24" i="13"/>
  <c r="H25" i="13"/>
  <c r="AB60" i="13"/>
  <c r="T60" i="13"/>
  <c r="Z60" i="13"/>
  <c r="U60" i="13"/>
  <c r="G60" i="13" s="1"/>
  <c r="AA60" i="13"/>
  <c r="S60" i="13"/>
  <c r="R60" i="13"/>
  <c r="AC60" i="13"/>
  <c r="I60" i="13" s="1"/>
  <c r="E60" i="13" s="1"/>
  <c r="Y60" i="13"/>
  <c r="H60" i="13" s="1"/>
  <c r="X60" i="13"/>
  <c r="V60" i="13"/>
  <c r="W60" i="13"/>
  <c r="P114" i="13"/>
  <c r="Q24" i="14" l="1"/>
  <c r="Q29" i="14"/>
  <c r="Q30" i="14"/>
  <c r="Q34" i="14"/>
  <c r="Q35" i="14"/>
  <c r="Q37" i="14"/>
  <c r="O35" i="14" l="1"/>
  <c r="O34" i="14"/>
  <c r="M35" i="14"/>
  <c r="M34" i="14"/>
  <c r="K35" i="14"/>
  <c r="K34" i="14"/>
  <c r="I35" i="14"/>
  <c r="I34" i="14"/>
  <c r="G35" i="14"/>
  <c r="G34" i="14"/>
  <c r="O37" i="14"/>
  <c r="M37" i="14"/>
  <c r="K37" i="14"/>
  <c r="I37" i="14"/>
  <c r="G37" i="14"/>
  <c r="E37" i="14"/>
  <c r="E35" i="14"/>
  <c r="O29" i="14"/>
  <c r="O30" i="14" s="1"/>
  <c r="O24" i="14"/>
  <c r="M29" i="14"/>
  <c r="M30" i="14" s="1"/>
  <c r="M24" i="14"/>
  <c r="K29" i="14"/>
  <c r="K30" i="14" s="1"/>
  <c r="K24" i="14"/>
  <c r="I30" i="14"/>
  <c r="I29" i="14"/>
  <c r="I24" i="14"/>
  <c r="G29" i="14"/>
  <c r="G30" i="14" s="1"/>
  <c r="G24" i="14"/>
  <c r="E93" i="3" l="1"/>
  <c r="E90" i="3"/>
  <c r="E89" i="3"/>
  <c r="E86" i="3"/>
  <c r="E81" i="3"/>
  <c r="E77" i="3"/>
  <c r="E76" i="3"/>
  <c r="E68" i="3"/>
  <c r="E65" i="3"/>
  <c r="E63" i="3"/>
  <c r="E57" i="3"/>
  <c r="E83" i="3"/>
  <c r="E80" i="3"/>
  <c r="E78" i="3"/>
  <c r="E70" i="3"/>
  <c r="E34" i="14"/>
  <c r="E29" i="14"/>
  <c r="E30" i="14" s="1"/>
  <c r="E24" i="14"/>
  <c r="E69" i="3" l="1"/>
  <c r="AB88" i="13" l="1"/>
  <c r="AA88" i="13"/>
  <c r="Z88" i="13"/>
  <c r="Y88" i="13"/>
  <c r="X88" i="13"/>
  <c r="V88" i="13"/>
  <c r="U88" i="13"/>
  <c r="T88" i="13"/>
  <c r="S88" i="13"/>
  <c r="R88" i="13"/>
  <c r="K119" i="13" l="1"/>
  <c r="AC143" i="13" l="1"/>
  <c r="AB143" i="13"/>
  <c r="AA143" i="13"/>
  <c r="Z143" i="13"/>
  <c r="Y143" i="13"/>
  <c r="X143" i="13"/>
  <c r="W143" i="13"/>
  <c r="V143" i="13"/>
  <c r="U143" i="13"/>
  <c r="T143" i="13"/>
  <c r="S143" i="13"/>
  <c r="R143" i="13"/>
  <c r="J119" i="13"/>
  <c r="I119" i="13"/>
  <c r="H119" i="13"/>
  <c r="G119" i="13"/>
  <c r="E119" i="13"/>
  <c r="K10" i="13" l="1"/>
  <c r="E10" i="13"/>
  <c r="J10" i="13"/>
  <c r="G10" i="13"/>
  <c r="H10" i="13"/>
  <c r="G13" i="13"/>
  <c r="I10" i="13"/>
  <c r="K11" i="13" l="1"/>
  <c r="K13" i="13"/>
  <c r="R93" i="13"/>
  <c r="E24" i="13"/>
  <c r="E11" i="13"/>
  <c r="H11" i="13"/>
  <c r="J11" i="13"/>
  <c r="I11" i="13"/>
  <c r="I13" i="13"/>
  <c r="G11" i="13"/>
  <c r="G16" i="13"/>
  <c r="J13" i="13"/>
  <c r="R94" i="13"/>
  <c r="G136" i="13"/>
  <c r="E13" i="13"/>
  <c r="H13" i="13"/>
  <c r="K14" i="13" l="1"/>
  <c r="J14" i="13"/>
  <c r="H14" i="13"/>
  <c r="I14" i="13"/>
  <c r="G14" i="13"/>
  <c r="E14" i="13"/>
  <c r="H16" i="13"/>
  <c r="H136" i="13"/>
  <c r="G137" i="13" l="1"/>
  <c r="H137" i="13"/>
  <c r="H17" i="13"/>
  <c r="G17" i="13"/>
  <c r="I16" i="13" l="1"/>
  <c r="I136" i="13"/>
  <c r="I137" i="13" l="1"/>
  <c r="I17" i="13"/>
  <c r="J16" i="13" l="1"/>
  <c r="J136" i="13"/>
  <c r="K136" i="13"/>
  <c r="K16" i="13" l="1"/>
  <c r="K137" i="13"/>
  <c r="J137" i="13"/>
  <c r="J17" i="13"/>
  <c r="E16" i="13"/>
  <c r="E136" i="13"/>
  <c r="S65" i="14" s="1"/>
  <c r="K17" i="13" l="1"/>
  <c r="E17" i="13" l="1"/>
  <c r="E137" i="13"/>
  <c r="S66" i="14" s="1"/>
  <c r="K127" i="13" l="1"/>
  <c r="H127" i="13"/>
  <c r="AC96" i="13"/>
  <c r="Y96" i="13"/>
  <c r="U96" i="13"/>
  <c r="J127" i="13"/>
  <c r="E127" i="13"/>
  <c r="AA96" i="13"/>
  <c r="W96" i="13"/>
  <c r="S96" i="13"/>
  <c r="I127" i="13"/>
  <c r="Z96" i="13"/>
  <c r="R96" i="13"/>
  <c r="X96" i="13"/>
  <c r="G127" i="13"/>
  <c r="V96" i="13"/>
  <c r="AB96" i="13"/>
  <c r="T96" i="13"/>
  <c r="J96" i="13" l="1"/>
  <c r="H96" i="13"/>
  <c r="K96" i="13"/>
  <c r="G96" i="13"/>
  <c r="K84" i="13"/>
  <c r="I96" i="13"/>
  <c r="Q88" i="13"/>
  <c r="K123" i="13"/>
  <c r="X84" i="13"/>
  <c r="AB84" i="13"/>
  <c r="U84" i="13"/>
  <c r="W84" i="13"/>
  <c r="V84" i="13"/>
  <c r="I123" i="13"/>
  <c r="G123" i="13"/>
  <c r="J123" i="13"/>
  <c r="E123" i="13"/>
  <c r="H123" i="13"/>
  <c r="AA84" i="13"/>
  <c r="R84" i="13"/>
  <c r="Y84" i="13"/>
  <c r="S84" i="13"/>
  <c r="AC84" i="13"/>
  <c r="Z84" i="13"/>
  <c r="T84" i="13"/>
  <c r="K106" i="13" l="1"/>
  <c r="V106" i="13"/>
  <c r="S106" i="13"/>
  <c r="Y106" i="13"/>
  <c r="Z106" i="13"/>
  <c r="AB106" i="13"/>
  <c r="AA106" i="13"/>
  <c r="X106" i="13"/>
  <c r="T106" i="13"/>
  <c r="I84" i="13"/>
  <c r="J84" i="13"/>
  <c r="U106" i="13"/>
  <c r="H84" i="13"/>
  <c r="W106" i="13"/>
  <c r="AC106" i="13"/>
  <c r="R106" i="13"/>
  <c r="E84" i="13"/>
  <c r="G84" i="13"/>
  <c r="E96" i="13"/>
  <c r="G106" i="13" l="1"/>
  <c r="H106" i="13"/>
  <c r="J106" i="13"/>
  <c r="I106" i="13"/>
  <c r="E106" i="13"/>
  <c r="E61" i="3" l="1"/>
  <c r="E62" i="3"/>
  <c r="S104" i="13" l="1"/>
  <c r="T104" i="13"/>
  <c r="Z105" i="13"/>
  <c r="R105" i="13"/>
  <c r="X105" i="13"/>
  <c r="V105" i="13"/>
  <c r="V104" i="13"/>
  <c r="AB105" i="13"/>
  <c r="T105" i="13"/>
  <c r="AA105" i="13"/>
  <c r="W105" i="13"/>
  <c r="S105" i="13"/>
  <c r="AC105" i="13"/>
  <c r="Y105" i="13"/>
  <c r="U105" i="13"/>
  <c r="H105" i="13" l="1"/>
  <c r="G105" i="13"/>
  <c r="K105" i="13"/>
  <c r="J105" i="13"/>
  <c r="I105" i="13"/>
  <c r="S107" i="13"/>
  <c r="V107" i="13"/>
  <c r="R104" i="13"/>
  <c r="R80" i="13"/>
  <c r="T107" i="13"/>
  <c r="E105" i="13"/>
  <c r="AA104" i="13"/>
  <c r="AA107" i="13" s="1"/>
  <c r="W104" i="13"/>
  <c r="W107" i="13" s="1"/>
  <c r="AC104" i="13"/>
  <c r="AC107" i="13" s="1"/>
  <c r="AB104" i="13"/>
  <c r="AB107" i="13" s="1"/>
  <c r="Y104" i="13"/>
  <c r="Y107" i="13" s="1"/>
  <c r="X104" i="13"/>
  <c r="X107" i="13" s="1"/>
  <c r="G29" i="13"/>
  <c r="Z104" i="13"/>
  <c r="Z107" i="13" s="1"/>
  <c r="U104" i="13"/>
  <c r="J104" i="13" l="1"/>
  <c r="J107" i="13" s="1"/>
  <c r="I104" i="13"/>
  <c r="I107" i="13" s="1"/>
  <c r="R107" i="13"/>
  <c r="G104" i="13"/>
  <c r="G107" i="13" s="1"/>
  <c r="H104" i="13"/>
  <c r="H107" i="13" s="1"/>
  <c r="K104" i="13"/>
  <c r="E104" i="13"/>
  <c r="U107" i="13"/>
  <c r="R81" i="13"/>
  <c r="K107" i="13"/>
  <c r="K133" i="13" l="1"/>
  <c r="L115" i="13"/>
  <c r="J133" i="13"/>
  <c r="K115" i="13"/>
  <c r="H133" i="13"/>
  <c r="I115" i="13"/>
  <c r="G133" i="13"/>
  <c r="H115" i="13"/>
  <c r="I133" i="13"/>
  <c r="J115" i="13"/>
  <c r="E107" i="13"/>
  <c r="E133" i="13" l="1"/>
  <c r="G115" i="13"/>
  <c r="S61" i="14" s="1"/>
  <c r="R82" i="13" l="1"/>
  <c r="R95" i="13" l="1"/>
  <c r="S94" i="13" l="1"/>
  <c r="S93" i="13"/>
  <c r="R83" i="13"/>
  <c r="R97" i="13"/>
  <c r="R99" i="13" s="1"/>
  <c r="S81" i="13" l="1"/>
  <c r="R85" i="13"/>
  <c r="S80" i="13"/>
  <c r="S82" i="13" l="1"/>
  <c r="S95" i="13" l="1"/>
  <c r="T94" i="13" l="1"/>
  <c r="T93" i="13"/>
  <c r="S83" i="13"/>
  <c r="S97" i="13"/>
  <c r="S99" i="13" s="1"/>
  <c r="S85" i="13" l="1"/>
  <c r="T80" i="13"/>
  <c r="T81" i="13"/>
  <c r="T82" i="13" l="1"/>
  <c r="T95" i="13" l="1"/>
  <c r="U94" i="13" l="1"/>
  <c r="T83" i="13"/>
  <c r="T97" i="13"/>
  <c r="T99" i="13" s="1"/>
  <c r="U93" i="13"/>
  <c r="T85" i="13" l="1"/>
  <c r="U81" i="13"/>
  <c r="U80" i="13"/>
  <c r="U82" i="13" l="1"/>
  <c r="U95" i="13" l="1"/>
  <c r="U83" i="13" l="1"/>
  <c r="U97" i="13"/>
  <c r="U99" i="13" s="1"/>
  <c r="V93" i="13"/>
  <c r="U85" i="13" l="1"/>
  <c r="V94" i="13"/>
  <c r="V80" i="13"/>
  <c r="V81" i="13" l="1"/>
  <c r="V82" i="13" l="1"/>
  <c r="V95" i="13" l="1"/>
  <c r="W93" i="13" l="1"/>
  <c r="V83" i="13"/>
  <c r="V97" i="13"/>
  <c r="V99" i="13" s="1"/>
  <c r="V85" i="13" l="1"/>
  <c r="W80" i="13"/>
  <c r="W94" i="13"/>
  <c r="W81" i="13"/>
  <c r="J118" i="13" l="1"/>
  <c r="J120" i="13" s="1"/>
  <c r="K118" i="13" l="1"/>
  <c r="K120" i="13" s="1"/>
  <c r="E81" i="13" l="1"/>
  <c r="G81" i="13"/>
  <c r="E85" i="13"/>
  <c r="E131" i="13" s="1"/>
  <c r="W85" i="13"/>
  <c r="W87" i="13"/>
  <c r="W88" i="13" s="1"/>
  <c r="E94" i="13"/>
  <c r="G94" i="13"/>
  <c r="E97" i="13"/>
  <c r="E132" i="13" s="1"/>
  <c r="G97" i="13"/>
  <c r="H114" i="13" s="1"/>
  <c r="W97" i="13"/>
  <c r="W99" i="13" s="1"/>
  <c r="G132" i="13" l="1"/>
  <c r="G113" i="13"/>
  <c r="S52" i="14" s="1"/>
  <c r="G114" i="13"/>
  <c r="S57" i="14" s="1"/>
  <c r="E90" i="13"/>
  <c r="N113" i="13" s="1"/>
  <c r="S54" i="14" s="1"/>
  <c r="G122" i="13" l="1"/>
  <c r="G124" i="13" s="1"/>
  <c r="W82" i="13" l="1"/>
  <c r="E113" i="13"/>
  <c r="E122" i="13"/>
  <c r="E124" i="13" s="1"/>
  <c r="W95" i="13" l="1"/>
  <c r="S51" i="14"/>
  <c r="M113" i="13"/>
  <c r="S53" i="14" s="1"/>
  <c r="G82" i="13"/>
  <c r="E82" i="13"/>
  <c r="W83" i="13" l="1"/>
  <c r="X93" i="13"/>
  <c r="X94" i="13"/>
  <c r="X80" i="13" l="1"/>
  <c r="X81" i="13"/>
  <c r="X97" i="13"/>
  <c r="X99" i="13" s="1"/>
  <c r="X85" i="13" l="1"/>
  <c r="AC87" i="13" s="1"/>
  <c r="AC88" i="13" s="1"/>
  <c r="X82" i="13" l="1"/>
  <c r="E101" i="13" l="1"/>
  <c r="O114" i="13" s="1"/>
  <c r="S59" i="14" s="1"/>
  <c r="G126" i="13"/>
  <c r="G128" i="13" s="1"/>
  <c r="G101" i="13"/>
  <c r="Q114" i="13" s="1"/>
  <c r="X95" i="13" l="1"/>
  <c r="E126" i="13"/>
  <c r="E128" i="13" s="1"/>
  <c r="E114" i="13"/>
  <c r="S56" i="14" l="1"/>
  <c r="M114" i="13"/>
  <c r="S58" i="14" s="1"/>
  <c r="X83" i="13"/>
  <c r="E95" i="13"/>
  <c r="G95" i="13"/>
  <c r="Y93" i="13"/>
  <c r="Y94" i="13"/>
  <c r="Y81" i="13" l="1"/>
  <c r="E83" i="13"/>
  <c r="G83" i="13"/>
  <c r="Y97" i="13"/>
  <c r="Y99" i="13" s="1"/>
  <c r="E93" i="13"/>
  <c r="G93" i="13"/>
  <c r="Y80" i="13"/>
  <c r="Y85" i="13" l="1"/>
  <c r="Y82" i="13" l="1"/>
  <c r="Y95" i="13"/>
  <c r="Y83" i="13" s="1"/>
  <c r="Z94" i="13" l="1"/>
  <c r="Z81" i="13"/>
  <c r="Z93" i="13"/>
  <c r="Z97" i="13" s="1"/>
  <c r="Z99" i="13" s="1"/>
  <c r="Z80" i="13" l="1"/>
  <c r="Z85" i="13" l="1"/>
  <c r="Z95" i="13" l="1"/>
  <c r="Z83" i="13" s="1"/>
  <c r="Z82" i="13" l="1"/>
  <c r="AA94" i="13" l="1"/>
  <c r="AA81" i="13"/>
  <c r="AA93" i="13"/>
  <c r="AA97" i="13" s="1"/>
  <c r="AA99" i="13" s="1"/>
  <c r="AA80" i="13" l="1"/>
  <c r="AA85" i="13" l="1"/>
  <c r="AA95" i="13" l="1"/>
  <c r="AA83" i="13" s="1"/>
  <c r="AA82" i="13" l="1"/>
  <c r="AB93" i="13" l="1"/>
  <c r="AB97" i="13" s="1"/>
  <c r="AB99" i="13" s="1"/>
  <c r="AB94" i="13"/>
  <c r="AB81" i="13"/>
  <c r="AB80" i="13" l="1"/>
  <c r="AB85" i="13" l="1"/>
  <c r="AB95" i="13" l="1"/>
  <c r="AB83" i="13" s="1"/>
  <c r="AB82" i="13" l="1"/>
  <c r="H94" i="13"/>
  <c r="AC81" i="13" l="1"/>
  <c r="AC94" i="13"/>
  <c r="AC80" i="13"/>
  <c r="AC93" i="13"/>
  <c r="AC97" i="13" s="1"/>
  <c r="AC99" i="13" s="1"/>
  <c r="H93" i="13"/>
  <c r="H81" i="13"/>
  <c r="AC85" i="13" l="1"/>
  <c r="G80" i="13"/>
  <c r="G85" i="13" s="1"/>
  <c r="E80" i="13"/>
  <c r="H80" i="13"/>
  <c r="H85" i="13" s="1"/>
  <c r="H97" i="13"/>
  <c r="H113" i="13" l="1"/>
  <c r="G131" i="13"/>
  <c r="AC95" i="13"/>
  <c r="AC83" i="13" s="1"/>
  <c r="I114" i="13"/>
  <c r="H132" i="13"/>
  <c r="H131" i="13"/>
  <c r="I113" i="13"/>
  <c r="H122" i="13"/>
  <c r="H124" i="13" s="1"/>
  <c r="AC82" i="13" l="1"/>
  <c r="H82" i="13"/>
  <c r="H126" i="13" l="1"/>
  <c r="H128" i="13" s="1"/>
  <c r="H101" i="13"/>
  <c r="R114" i="13" s="1"/>
  <c r="H83" i="13" l="1"/>
  <c r="H95" i="13"/>
  <c r="I94" i="13" l="1"/>
  <c r="I93" i="13" l="1"/>
  <c r="I81" i="13"/>
  <c r="I80" i="13" l="1"/>
  <c r="I85" i="13" s="1"/>
  <c r="I97" i="13"/>
  <c r="J114" i="13" l="1"/>
  <c r="I132" i="13"/>
  <c r="I122" i="13"/>
  <c r="I124" i="13" s="1"/>
  <c r="J113" i="13"/>
  <c r="I131" i="13"/>
  <c r="I82" i="13" l="1"/>
  <c r="I126" i="13" l="1"/>
  <c r="I128" i="13" s="1"/>
  <c r="I101" i="13"/>
  <c r="S114" i="13" s="1"/>
  <c r="I83" i="13" l="1"/>
  <c r="I95" i="13"/>
  <c r="J94" i="13" l="1"/>
  <c r="J59" i="13"/>
  <c r="J60" i="13" l="1"/>
  <c r="J93" i="13"/>
  <c r="J81" i="13"/>
  <c r="J97" i="13" l="1"/>
  <c r="J80" i="13"/>
  <c r="J85" i="13" s="1"/>
  <c r="J131" i="13" l="1"/>
  <c r="K113" i="13"/>
  <c r="J122" i="13"/>
  <c r="J124" i="13" s="1"/>
  <c r="J82" i="13"/>
  <c r="K114" i="13"/>
  <c r="J132" i="13"/>
  <c r="J126" i="13" l="1"/>
  <c r="J128" i="13" s="1"/>
  <c r="J101" i="13"/>
  <c r="T114" i="13" s="1"/>
  <c r="J83" i="13" l="1"/>
  <c r="J95" i="13"/>
  <c r="K59" i="13" l="1"/>
  <c r="K94" i="13" l="1"/>
  <c r="K93" i="13" l="1"/>
  <c r="K60" i="13"/>
  <c r="K81" i="13"/>
  <c r="K80" i="13" l="1"/>
  <c r="K97" i="13"/>
  <c r="L114" i="13" l="1"/>
  <c r="K132" i="13"/>
  <c r="K85" i="13"/>
  <c r="K122" i="13"/>
  <c r="K124" i="13" s="1"/>
  <c r="K82" i="13" l="1"/>
  <c r="K131" i="13"/>
  <c r="L113" i="13"/>
  <c r="K126" i="13" l="1"/>
  <c r="K128" i="13" s="1"/>
  <c r="K101" i="13"/>
  <c r="K83" i="13" l="1"/>
  <c r="K95" i="13"/>
  <c r="R27" i="13" l="1"/>
  <c r="R30" i="13" s="1"/>
  <c r="S26" i="13" s="1"/>
  <c r="R37" i="13" l="1"/>
  <c r="R40" i="13" s="1"/>
  <c r="S38" i="13" s="1"/>
  <c r="R55" i="13"/>
  <c r="S49" i="13" s="1"/>
  <c r="R144" i="13"/>
  <c r="S23" i="13"/>
  <c r="S52" i="13"/>
  <c r="R32" i="13"/>
  <c r="S36" i="13" l="1"/>
  <c r="R67" i="13"/>
  <c r="R146" i="13" s="1"/>
  <c r="R147" i="13"/>
  <c r="S27" i="13"/>
  <c r="S51" i="13"/>
  <c r="S30" i="13" l="1"/>
  <c r="T26" i="13" s="1"/>
  <c r="S55" i="13" l="1"/>
  <c r="S37" i="13"/>
  <c r="S40" i="13" s="1"/>
  <c r="T38" i="13" s="1"/>
  <c r="S144" i="13"/>
  <c r="S32" i="13"/>
  <c r="T52" i="13"/>
  <c r="T23" i="13"/>
  <c r="T27" i="13" l="1"/>
  <c r="T30" i="13" s="1"/>
  <c r="U26" i="13" s="1"/>
  <c r="S67" i="13"/>
  <c r="S146" i="13" s="1"/>
  <c r="T36" i="13"/>
  <c r="S147" i="13"/>
  <c r="T49" i="13"/>
  <c r="T37" i="13" l="1"/>
  <c r="T40" i="13" s="1"/>
  <c r="U38" i="13" s="1"/>
  <c r="T144" i="13"/>
  <c r="T32" i="13"/>
  <c r="U52" i="13"/>
  <c r="U23" i="13"/>
  <c r="T51" i="13"/>
  <c r="T55" i="13" s="1"/>
  <c r="U36" i="13" l="1"/>
  <c r="T67" i="13"/>
  <c r="T146" i="13" s="1"/>
  <c r="T147" i="13"/>
  <c r="U49" i="13"/>
  <c r="G23" i="13"/>
  <c r="U27" i="13"/>
  <c r="G26" i="13"/>
  <c r="G27" i="13" l="1"/>
  <c r="U51" i="13"/>
  <c r="E50" i="13" l="1"/>
  <c r="E23" i="13" l="1"/>
  <c r="H23" i="13"/>
  <c r="I23" i="13"/>
  <c r="J23" i="13"/>
  <c r="K23" i="13"/>
  <c r="M23" i="13"/>
  <c r="V23" i="13"/>
  <c r="W23" i="13"/>
  <c r="X23" i="13"/>
  <c r="Y23" i="13"/>
  <c r="Z23" i="13"/>
  <c r="AA23" i="13"/>
  <c r="AB23" i="13"/>
  <c r="AC23" i="13"/>
  <c r="E26" i="13"/>
  <c r="H26" i="13"/>
  <c r="I26" i="13"/>
  <c r="V26" i="13"/>
  <c r="W26" i="13"/>
  <c r="X26" i="13"/>
  <c r="Y26" i="13"/>
  <c r="Z26" i="13"/>
  <c r="AA26" i="13"/>
  <c r="AB26" i="13"/>
  <c r="AC26" i="13"/>
  <c r="E27" i="13"/>
  <c r="H27" i="13"/>
  <c r="I27" i="13"/>
  <c r="V27" i="13"/>
  <c r="W27" i="13"/>
  <c r="X27" i="13"/>
  <c r="Y27" i="13"/>
  <c r="Z27" i="13"/>
  <c r="AA27" i="13"/>
  <c r="AB27" i="13"/>
  <c r="AC27" i="13"/>
  <c r="E28" i="13"/>
  <c r="G28" i="13"/>
  <c r="H28" i="13"/>
  <c r="I28" i="13"/>
  <c r="U28" i="13"/>
  <c r="V28" i="13"/>
  <c r="W28" i="13"/>
  <c r="X28" i="13"/>
  <c r="Y28" i="13"/>
  <c r="Z28" i="13"/>
  <c r="AA28" i="13"/>
  <c r="AB28" i="13"/>
  <c r="AC28" i="13"/>
  <c r="E30" i="13"/>
  <c r="G30" i="13"/>
  <c r="H30" i="13"/>
  <c r="I30" i="13"/>
  <c r="U30" i="13"/>
  <c r="V30" i="13"/>
  <c r="W30" i="13"/>
  <c r="X30" i="13"/>
  <c r="Y30" i="13"/>
  <c r="Z30" i="13"/>
  <c r="AA30" i="13"/>
  <c r="AB30" i="13"/>
  <c r="AC30" i="13"/>
  <c r="U32" i="13"/>
  <c r="V32" i="13"/>
  <c r="W32" i="13"/>
  <c r="X32" i="13"/>
  <c r="Y32" i="13"/>
  <c r="Z32" i="13"/>
  <c r="AA32" i="13"/>
  <c r="AB32" i="13"/>
  <c r="AC32" i="13"/>
  <c r="V36" i="13"/>
  <c r="W36" i="13"/>
  <c r="X36" i="13"/>
  <c r="Y36" i="13"/>
  <c r="Z36" i="13"/>
  <c r="AA36" i="13"/>
  <c r="AB36" i="13"/>
  <c r="AC36" i="13"/>
  <c r="U37" i="13"/>
  <c r="V37" i="13"/>
  <c r="W37" i="13"/>
  <c r="X37" i="13"/>
  <c r="Y37" i="13"/>
  <c r="Z37" i="13"/>
  <c r="AA37" i="13"/>
  <c r="AB37" i="13"/>
  <c r="AC37" i="13"/>
  <c r="V38" i="13"/>
  <c r="W38" i="13"/>
  <c r="X38" i="13"/>
  <c r="Y38" i="13"/>
  <c r="Z38" i="13"/>
  <c r="AA38" i="13"/>
  <c r="AB38" i="13"/>
  <c r="AC38" i="13"/>
  <c r="U40" i="13"/>
  <c r="V40" i="13"/>
  <c r="W40" i="13"/>
  <c r="X40" i="13"/>
  <c r="Y40" i="13"/>
  <c r="Z40" i="13"/>
  <c r="AA40" i="13"/>
  <c r="AB40" i="13"/>
  <c r="AC40" i="13"/>
  <c r="U45" i="13"/>
  <c r="V45" i="13"/>
  <c r="W45" i="13"/>
  <c r="X45" i="13"/>
  <c r="Y45" i="13"/>
  <c r="Z45" i="13"/>
  <c r="AA45" i="13"/>
  <c r="AB45" i="13"/>
  <c r="AC45" i="13"/>
  <c r="V49" i="13"/>
  <c r="W49" i="13"/>
  <c r="X49" i="13"/>
  <c r="Y49" i="13"/>
  <c r="Z49" i="13"/>
  <c r="AA49" i="13"/>
  <c r="AB49" i="13"/>
  <c r="AC49" i="13"/>
  <c r="E51" i="13"/>
  <c r="V51" i="13"/>
  <c r="W51" i="13"/>
  <c r="X51" i="13"/>
  <c r="Y51" i="13"/>
  <c r="Z51" i="13"/>
  <c r="AA51" i="13"/>
  <c r="AB51" i="13"/>
  <c r="AC51" i="13"/>
  <c r="E52" i="13"/>
  <c r="V52" i="13"/>
  <c r="W52" i="13"/>
  <c r="X52" i="13"/>
  <c r="Y52" i="13"/>
  <c r="Z52" i="13"/>
  <c r="AA52" i="13"/>
  <c r="AB52" i="13"/>
  <c r="AC52" i="13"/>
  <c r="E53" i="13"/>
  <c r="U53" i="13"/>
  <c r="V53" i="13"/>
  <c r="W53" i="13"/>
  <c r="X53" i="13"/>
  <c r="Y53" i="13"/>
  <c r="Z53" i="13"/>
  <c r="AA53" i="13"/>
  <c r="AB53" i="13"/>
  <c r="AC53" i="13"/>
  <c r="E54" i="13"/>
  <c r="U54" i="13"/>
  <c r="Y54" i="13"/>
  <c r="AC54" i="13"/>
  <c r="E55" i="13"/>
  <c r="U55" i="13"/>
  <c r="V55" i="13"/>
  <c r="W55" i="13"/>
  <c r="X55" i="13"/>
  <c r="Y55" i="13"/>
  <c r="Z55" i="13"/>
  <c r="AA55" i="13"/>
  <c r="AB55" i="13"/>
  <c r="AC55" i="13"/>
  <c r="E62" i="13"/>
  <c r="G62" i="13"/>
  <c r="H62" i="13"/>
  <c r="I62" i="13"/>
  <c r="U62" i="13"/>
  <c r="Y62" i="13"/>
  <c r="AC62" i="13"/>
  <c r="E63" i="13"/>
  <c r="G63" i="13"/>
  <c r="H63" i="13"/>
  <c r="I63" i="13"/>
  <c r="U63" i="13"/>
  <c r="V63" i="13"/>
  <c r="W63" i="13"/>
  <c r="X63" i="13"/>
  <c r="Y63" i="13"/>
  <c r="Z63" i="13"/>
  <c r="AA63" i="13"/>
  <c r="AB63" i="13"/>
  <c r="AC63" i="13"/>
  <c r="E67" i="13"/>
  <c r="G67" i="13"/>
  <c r="H67" i="13"/>
  <c r="I67" i="13"/>
  <c r="U67" i="13"/>
  <c r="V67" i="13"/>
  <c r="W67" i="13"/>
  <c r="X67" i="13"/>
  <c r="Y67" i="13"/>
  <c r="Z67" i="13"/>
  <c r="AA67" i="13"/>
  <c r="AB67" i="13"/>
  <c r="AC67" i="13"/>
  <c r="E118" i="13"/>
  <c r="G118" i="13"/>
  <c r="H118" i="13"/>
  <c r="I118" i="13"/>
  <c r="E120" i="13"/>
  <c r="G120" i="13"/>
  <c r="H120" i="13"/>
  <c r="I120" i="13"/>
  <c r="U144" i="13"/>
  <c r="V144" i="13"/>
  <c r="W144" i="13"/>
  <c r="X144" i="13"/>
  <c r="Y144" i="13"/>
  <c r="Z144" i="13"/>
  <c r="AA144" i="13"/>
  <c r="AB144" i="13"/>
  <c r="AC144" i="13"/>
  <c r="U146" i="13"/>
  <c r="V146" i="13"/>
  <c r="W146" i="13"/>
  <c r="X146" i="13"/>
  <c r="Y146" i="13"/>
  <c r="Z146" i="13"/>
  <c r="AA146" i="13"/>
  <c r="AB146" i="13"/>
  <c r="AC146" i="13"/>
  <c r="U147" i="13"/>
  <c r="V147" i="13"/>
  <c r="W147" i="13"/>
  <c r="X147" i="13"/>
  <c r="Y147" i="13"/>
  <c r="Z147" i="13"/>
  <c r="AA147" i="13"/>
  <c r="AB147" i="13"/>
  <c r="AC147" i="13"/>
</calcChain>
</file>

<file path=xl/sharedStrings.xml><?xml version="1.0" encoding="utf-8"?>
<sst xmlns="http://schemas.openxmlformats.org/spreadsheetml/2006/main" count="326" uniqueCount="230">
  <si>
    <t>Assumptions</t>
  </si>
  <si>
    <t>Debt facility term (months)</t>
  </si>
  <si>
    <t>Year 1</t>
  </si>
  <si>
    <t>Year 2</t>
  </si>
  <si>
    <t>New Facility Loan Amount (Principal)</t>
  </si>
  <si>
    <t>Total</t>
  </si>
  <si>
    <t>Y1</t>
  </si>
  <si>
    <t>Y2</t>
  </si>
  <si>
    <t>Y3</t>
  </si>
  <si>
    <t>Y4</t>
  </si>
  <si>
    <t>Annual Program Peak</t>
  </si>
  <si>
    <t>Wingate Property Establishment Fee (% of Facility)</t>
  </si>
  <si>
    <t>New Facility Loan Amount (Facility Limit)</t>
  </si>
  <si>
    <t>Cover Sheet</t>
  </si>
  <si>
    <t>Updated:</t>
  </si>
  <si>
    <t>Colour coding:</t>
  </si>
  <si>
    <t>Hardcodes</t>
  </si>
  <si>
    <t>Formula</t>
  </si>
  <si>
    <t>Link from another sheet</t>
  </si>
  <si>
    <t>Partial input / inconsistent formula</t>
  </si>
  <si>
    <t>Hyperlink</t>
  </si>
  <si>
    <t>Contents:</t>
  </si>
  <si>
    <t>Hypothetical</t>
  </si>
  <si>
    <t>Historical Reconstruction</t>
  </si>
  <si>
    <t>*</t>
  </si>
  <si>
    <t>Net pre-tax investor return on debt facilities (IRR % pa)</t>
  </si>
  <si>
    <t>Investment Term</t>
  </si>
  <si>
    <t>Gross return on debt facilities (IRR % pa)</t>
  </si>
  <si>
    <t>Line of Credit</t>
  </si>
  <si>
    <t>Fund Manager Fees</t>
  </si>
  <si>
    <t>Maximum single investment size (% of Gross Fund value)</t>
  </si>
  <si>
    <t>Sell Down Time (months)</t>
  </si>
  <si>
    <t>Calculations</t>
  </si>
  <si>
    <t>Year</t>
  </si>
  <si>
    <t>CHECK</t>
  </si>
  <si>
    <t>Summary</t>
  </si>
  <si>
    <t>10 years</t>
  </si>
  <si>
    <t>Chart</t>
  </si>
  <si>
    <t>Investment Profile</t>
  </si>
  <si>
    <t>Underwriting Fund Investment Term (months)</t>
  </si>
  <si>
    <t>Underwriting Fund Fund "Run Off" Time After Close (months)</t>
  </si>
  <si>
    <t>Underwriting Fund</t>
  </si>
  <si>
    <t>Underwriting Fund (Capacity / Shortfall)</t>
  </si>
  <si>
    <t>Line of Credit (Capacity / Shortfall)</t>
  </si>
  <si>
    <t>Line of Credit - Peak Size</t>
  </si>
  <si>
    <t>Line of Credit (% of Fund)</t>
  </si>
  <si>
    <t>Line of Credit - Size</t>
  </si>
  <si>
    <t>Peak Size</t>
  </si>
  <si>
    <t>Profit</t>
  </si>
  <si>
    <t>Multiple</t>
  </si>
  <si>
    <t>Program Economics</t>
  </si>
  <si>
    <t>Principal</t>
  </si>
  <si>
    <t>Facility</t>
  </si>
  <si>
    <t>Facility Repayment (Original Principal)</t>
  </si>
  <si>
    <t>Facility Repayment (Principal + Gross Interest)</t>
  </si>
  <si>
    <t>Book Size (Principal) assuming zero start</t>
  </si>
  <si>
    <t>Book Size (Facility) assuming zero start</t>
  </si>
  <si>
    <t>Year 3+</t>
  </si>
  <si>
    <t>IRR %p.a</t>
  </si>
  <si>
    <t>Fund - Working Balances</t>
  </si>
  <si>
    <t>Margin - Selldown to Repayment (Gross less Preferred Interest)</t>
  </si>
  <si>
    <t>Margin - Settlement to Selldown (Gross less Preferred Interest)</t>
  </si>
  <si>
    <t>Sell Down %</t>
  </si>
  <si>
    <t>Line of Credit Charge (% of Unused Line of Credit pa)</t>
  </si>
  <si>
    <t>Assumed this applies only to the Undrawn Line of Credit</t>
  </si>
  <si>
    <t>Retention %</t>
  </si>
  <si>
    <t>Line of Credit Size ($m)</t>
  </si>
  <si>
    <t>Net Underwriting Fund Size ($m)</t>
  </si>
  <si>
    <t>Gross Fund Size - Total ($m)</t>
  </si>
  <si>
    <t>Net Underwriting Fund</t>
  </si>
  <si>
    <t>Margin Share - Net Underwriting Fund (%)</t>
  </si>
  <si>
    <t>Margin Share - Line of Credit (%)</t>
  </si>
  <si>
    <t>Net Underwriting Fund - Interest Earned on Undrawn (IRR % pa)</t>
  </si>
  <si>
    <t>Assumed we pay bank interest rate @ 3.5% pa</t>
  </si>
  <si>
    <t>Assumed this applies to the Net Underwriting Fund Size</t>
  </si>
  <si>
    <t>Assumed this applies to the LOC Size</t>
  </si>
  <si>
    <t>Gross Fund - Peak Size</t>
  </si>
  <si>
    <t>Gross Fund - Size</t>
  </si>
  <si>
    <t>Net Underwriting Fund - Peak Size</t>
  </si>
  <si>
    <t>Net Underwriting Fund - Size</t>
  </si>
  <si>
    <t>Investment Restrictions</t>
  </si>
  <si>
    <t>Program Performance</t>
  </si>
  <si>
    <t>Bank interest on unused principal</t>
  </si>
  <si>
    <t>Net Underwriting Fund - Selldown Interest (Preferred)</t>
  </si>
  <si>
    <t>Net Underwriting Fund - Repayment Interest From Retained Facilities (Preferred)</t>
  </si>
  <si>
    <t>Line of Credit - Selldown Interest (Preferred)</t>
  </si>
  <si>
    <t>Line of Credit - Repayment Interest From Retained Facilities (Preferred)</t>
  </si>
  <si>
    <t>Total Line of Credit Profit</t>
  </si>
  <si>
    <t>Not currently used. Possible to model in fund close / run off period later if required</t>
  </si>
  <si>
    <t>Not currently used. Possible to model in single exposure limits later if required</t>
  </si>
  <si>
    <t>Margin Share - Gross Underwriting Fund (%)</t>
  </si>
  <si>
    <t>Net Underwriting Fund - Preferred Return (IRR % pa)</t>
  </si>
  <si>
    <t>Line of Credit - Preferred Return (IRR % pa)</t>
  </si>
  <si>
    <t>Preferred Returns</t>
  </si>
  <si>
    <t>Line of Credit Charge</t>
  </si>
  <si>
    <t>Administration Fee - Net Underwriting Fund (% pa ex GST)</t>
  </si>
  <si>
    <t>Administration Fee - LOC (% pa ex GST)</t>
  </si>
  <si>
    <t>Distributions</t>
  </si>
  <si>
    <t>Net Underwriting Fund - IRR (% p/a)</t>
  </si>
  <si>
    <t>Net Underwiting Fund Profit</t>
  </si>
  <si>
    <t>Gross Underwriting Fund - Change in balance</t>
  </si>
  <si>
    <t>Net Underwriting Fund - Distributions</t>
  </si>
  <si>
    <t>Net Underwriting Fund - Cash Flow</t>
  </si>
  <si>
    <t>LOC - Cash Flow</t>
  </si>
  <si>
    <t>Either "1" = annually, or "2" Semi-annually</t>
  </si>
  <si>
    <t>Sensitivities</t>
  </si>
  <si>
    <t>Base</t>
  </si>
  <si>
    <t>Scenario</t>
  </si>
  <si>
    <t>ASSUMPTIONS</t>
  </si>
  <si>
    <t>RESULTS</t>
  </si>
  <si>
    <t>#1</t>
  </si>
  <si>
    <t>MODEL</t>
  </si>
  <si>
    <t>DRIVERS</t>
  </si>
  <si>
    <t>#2</t>
  </si>
  <si>
    <t>#3</t>
  </si>
  <si>
    <t>= CHANGE FROM BASE CASE ASSUMPTION</t>
  </si>
  <si>
    <t>CTRL-R to run macro</t>
  </si>
  <si>
    <t>Multiple (Fund Size + Profit / Fund Size)</t>
  </si>
  <si>
    <t>Return on Avg Drawn Balance %p.a</t>
  </si>
  <si>
    <t>Line of Credit - Return on Average Drawn Balance (% p/a)</t>
  </si>
  <si>
    <t>#4</t>
  </si>
  <si>
    <t>#5</t>
  </si>
  <si>
    <t>#6</t>
  </si>
  <si>
    <t>Y5+</t>
  </si>
  <si>
    <t>Return On Average Drawn Balance %.</t>
  </si>
  <si>
    <t>Net Underwriting Fund - Distribution Frequency (Distributions p/a)</t>
  </si>
  <si>
    <t>Net Underwriting Fund Distribution Frequency (Distributions p/a)</t>
  </si>
  <si>
    <t>Kokoda Property: Corporate Portfolio Fund Model</t>
  </si>
  <si>
    <t>Hypothetical Fundraising Assumptions</t>
  </si>
  <si>
    <t>Investment Parameters</t>
  </si>
  <si>
    <t>Kokoda Capital Raise Inflows p.a. ($m)</t>
  </si>
  <si>
    <t>Kokoda Capital Raise Inflows Pattern (qtrly cycle)</t>
  </si>
  <si>
    <t>Quarter 1</t>
  </si>
  <si>
    <t>Quarter 2</t>
  </si>
  <si>
    <t>Quarter 3</t>
  </si>
  <si>
    <t>Quarter 4</t>
  </si>
  <si>
    <t>Portfolio Management</t>
  </si>
  <si>
    <t>Cash at bank (TD Rate) (%pa)</t>
  </si>
  <si>
    <t>Capitalised. This is how much the fund on lends to Kokoda projects.</t>
  </si>
  <si>
    <t>Initial non redemption period (mths from fund open)</t>
  </si>
  <si>
    <t>Maximum Redemption Amount (% of FUM p/a)</t>
  </si>
  <si>
    <t>Fund re-investment rate (% of matured funds)</t>
  </si>
  <si>
    <t>Coupon - cash distribution frequency (times per year)</t>
  </si>
  <si>
    <t>% of annual raise amount, per defined period</t>
  </si>
  <si>
    <t>Kokoda Fund</t>
  </si>
  <si>
    <t>Opening Balance</t>
  </si>
  <si>
    <t>Outflow - Establishment Fee</t>
  </si>
  <si>
    <t>Kokoda Fund - Closing Balance</t>
  </si>
  <si>
    <t>N/A</t>
  </si>
  <si>
    <t>Quarter</t>
  </si>
  <si>
    <t>(3 yrs)</t>
  </si>
  <si>
    <t>Y5</t>
  </si>
  <si>
    <t>Outflow - Redemptions</t>
  </si>
  <si>
    <t>Inflow - Gross Funds Raised</t>
  </si>
  <si>
    <t>Deployment Loan Balance</t>
  </si>
  <si>
    <t>Opening Loan Balances</t>
  </si>
  <si>
    <t>Interest on Loan (Capitalising)</t>
  </si>
  <si>
    <t>Less Loan Repayments</t>
  </si>
  <si>
    <t>Closing Loan Balance</t>
  </si>
  <si>
    <t>Redemptions</t>
  </si>
  <si>
    <t>Cash Account</t>
  </si>
  <si>
    <t>Opening Cash Balance</t>
  </si>
  <si>
    <t>Closing Cash Balance</t>
  </si>
  <si>
    <t>Coupon (Entitlement)</t>
  </si>
  <si>
    <t>Coupon (Cash Paid)</t>
  </si>
  <si>
    <t>Inflow - Fund Contributions (Cash Portion)</t>
  </si>
  <si>
    <t>Outflow - Less Investor Coupon Paid</t>
  </si>
  <si>
    <t>Outflow - Less Redemptions</t>
  </si>
  <si>
    <t>Kokoda - Management Fees</t>
  </si>
  <si>
    <t>Establishment Fee - Cumulative</t>
  </si>
  <si>
    <t>Administration Fee - Annual</t>
  </si>
  <si>
    <t>Administration Fee - Cumulative</t>
  </si>
  <si>
    <t>Kokoda Property Administration Fee - ongoing pa (% of Investments)</t>
  </si>
  <si>
    <t>arithmatic average of fund periodic balance - at calendar year end</t>
  </si>
  <si>
    <t>Outflow - Annual Administration Fee</t>
  </si>
  <si>
    <t>Kokoda - Underlying Project Cashflows / Requirements (NOT USED)</t>
  </si>
  <si>
    <t>24/25</t>
  </si>
  <si>
    <t>25/26</t>
  </si>
  <si>
    <t>26/27</t>
  </si>
  <si>
    <t>Inflow - Bank Interest on Cash at Bank</t>
  </si>
  <si>
    <r>
      <rPr>
        <i/>
        <sz val="8"/>
        <color rgb="FFFF0000"/>
        <rFont val="Arial"/>
        <family val="2"/>
      </rPr>
      <t>less</t>
    </r>
    <r>
      <rPr>
        <sz val="8"/>
        <color rgb="FFFF0000"/>
        <rFont val="Arial"/>
        <family val="2"/>
      </rPr>
      <t xml:space="preserve"> Line of Credit - </t>
    </r>
    <r>
      <rPr>
        <u/>
        <sz val="8"/>
        <color rgb="FFFF0000"/>
        <rFont val="Arial"/>
        <family val="2"/>
      </rPr>
      <t>Unused</t>
    </r>
    <r>
      <rPr>
        <sz val="8"/>
        <color rgb="FFFF0000"/>
        <rFont val="Arial"/>
        <family val="2"/>
      </rPr>
      <t xml:space="preserve"> Line Fee</t>
    </r>
  </si>
  <si>
    <r>
      <t xml:space="preserve">less Net Underwriting </t>
    </r>
    <r>
      <rPr>
        <sz val="8"/>
        <color rgb="FFFF0000"/>
        <rFont val="Arial"/>
        <family val="2"/>
      </rPr>
      <t>Fund Administration Fee</t>
    </r>
  </si>
  <si>
    <r>
      <t xml:space="preserve">Line of Credit - </t>
    </r>
    <r>
      <rPr>
        <u/>
        <sz val="8"/>
        <color rgb="FFFF0000"/>
        <rFont val="Arial"/>
        <family val="2"/>
      </rPr>
      <t>Unused</t>
    </r>
    <r>
      <rPr>
        <sz val="8"/>
        <color rgb="FFFF0000"/>
        <rFont val="Arial"/>
        <family val="2"/>
      </rPr>
      <t xml:space="preserve"> Line Fee Profit</t>
    </r>
  </si>
  <si>
    <r>
      <t xml:space="preserve">less </t>
    </r>
    <r>
      <rPr>
        <sz val="8"/>
        <color rgb="FFFF0000"/>
        <rFont val="Arial"/>
        <family val="2"/>
      </rPr>
      <t>LOC Administration Fee</t>
    </r>
  </si>
  <si>
    <t>Total FUND Profit</t>
  </si>
  <si>
    <t>MANAGER</t>
  </si>
  <si>
    <t>Total MANAGER Administration Fee</t>
  </si>
  <si>
    <t>MANAGER Property Book (Average)</t>
  </si>
  <si>
    <t>Fund Size</t>
  </si>
  <si>
    <t>Cash at Bank</t>
  </si>
  <si>
    <t>NA</t>
  </si>
  <si>
    <t>Net Asset Position</t>
  </si>
  <si>
    <t>Fund Net Asset Position</t>
  </si>
  <si>
    <t>Fund - Performance (NOT USED)</t>
  </si>
  <si>
    <t>Property Debt Underwriting Fund Assumptions</t>
  </si>
  <si>
    <t>Property Lending Assumptions</t>
  </si>
  <si>
    <t>Investment Manager</t>
  </si>
  <si>
    <t>Property Book (Average)</t>
  </si>
  <si>
    <t>Fund Term (years)</t>
  </si>
  <si>
    <t>[Not used]</t>
  </si>
  <si>
    <t>Net Deployment Rate (Lend : Cash)</t>
  </si>
  <si>
    <t>[Not used] Amount of cash re-invested in the fund at end of maturity</t>
  </si>
  <si>
    <t>Further Advance</t>
  </si>
  <si>
    <t>Establishment Fee - Incremental</t>
  </si>
  <si>
    <t>Kokoda Property Establishment Fee  - charged on entry (% of Investments)</t>
  </si>
  <si>
    <t>Investment Manager Debt Underwriting Fund Assumptions</t>
  </si>
  <si>
    <t>0 = off, 1 = annual, 2 = half yearly, 4 = quarterly</t>
  </si>
  <si>
    <t>Gross Investment return offered (IRR % pa)</t>
  </si>
  <si>
    <t>Cash Rate % p/a</t>
  </si>
  <si>
    <t>Investment Margin % p/a</t>
  </si>
  <si>
    <t>Key Features</t>
  </si>
  <si>
    <t>- Pooled Fund</t>
  </si>
  <si>
    <t>including benchmark rate. Paid as quarterly coupon (in arrears)</t>
  </si>
  <si>
    <t>Treasury - Lending Rate to Project SPVs (%pa)</t>
  </si>
  <si>
    <t>Rate paid to investors / Net Deployment Rate</t>
  </si>
  <si>
    <t>Overall Cost of Funds to Kokoda (IMPLIED) %pa</t>
  </si>
  <si>
    <t>Redemptions (x frequency per year)</t>
  </si>
  <si>
    <t>- Establishment Fee [1%]</t>
  </si>
  <si>
    <t>- Ongoing Administration Fee [0.5%] p/a</t>
  </si>
  <si>
    <t>Amount of investment funds raised deployed in projects vs retained as cash</t>
  </si>
  <si>
    <t>Redemptions (rolling average of last 12mths FUM balances x max redemption rate p/period)</t>
  </si>
  <si>
    <t>- Pays Quarterly distributions (in arrears) - [cash rate + 6.65% margin]</t>
  </si>
  <si>
    <t>- Quarterly redemption windows (after minimum 12mth freeze), capped at up to 2.5% of FUM per annum.</t>
  </si>
  <si>
    <t>- Three (3) year investment term (after which vote to extend, or elect to redeem or rollover to next Fund)</t>
  </si>
  <si>
    <t>defer interest in loan agreeement (HWLE and EY). Setup deferral to repayment on a single loan basis.</t>
  </si>
  <si>
    <t>The amount actually received will be unable to be determined until the Interest Payment Date (as opposed to the amount payable under that agreement).</t>
  </si>
  <si>
    <t xml:space="preserve">Interest payable is the amount actually received by the Borrower under the Project Loan Agreement as at the Interest Payment Date (being the termination date, or earlier date of repayment of the loan in full). </t>
  </si>
  <si>
    <t>We have then added clause 3.1(b) so that there is a cap on the interest return, being x% per annum, calculated on the principal outstanding from the commencement of the agreement until the Interest Payment Date.</t>
  </si>
  <si>
    <t>Assumed max redemptions per annum (calculated periodically, based on rolling 12mth periodic average FUM)</t>
  </si>
  <si>
    <t>- Backend treasury (not promoted fund feature) - 85% max deployment rate (minimum 15% of investment funds allocated to cash reserve)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</si>
</sst>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 #,##0.00_-;_-* &quot;-&quot;??_-;_-@_-"/>
    <numFmt numFmtId="164" formatCode="&quot;$&quot;#,##0;[Red]\-&quot;$&quot;#,##0"/>
    <numFmt numFmtId="165" formatCode="_-&quot;$&quot;* #,##0.00_-;\-&quot;$&quot;* #,##0.00_-;_-&quot;$&quot;* &quot;-&quot;??_-;_-@_-"/>
    <numFmt numFmtId="166" formatCode="&quot;$&quot;#,##0.0;[Red]\-&quot;$&quot;#,##0.0"/>
    <numFmt numFmtId="167" formatCode="0.0%"/>
    <numFmt numFmtId="168" formatCode="#,##0;\ \(#,##0\);\ \-"/>
    <numFmt numFmtId="169" formatCode="0.0%_);\(0.0%\);0.0%_);@_)"/>
    <numFmt numFmtId="170" formatCode="&quot;$&quot;#,##0.00_);\(&quot;$&quot;#,##0.00\);&quot;$&quot;#,##0.00_);@_)"/>
    <numFmt numFmtId="171" formatCode="dd\ mmm\ yy"/>
    <numFmt numFmtId="172" formatCode="#,##0.0_ ;[Red]\-#,##0.0\ "/>
    <numFmt numFmtId="173" formatCode="#,##0.0_ ;\-#,##0.0\ "/>
    <numFmt numFmtId="174" formatCode="0.0\x_);\(0.0\x\);0.0\x_);@_)"/>
    <numFmt numFmtId="175" formatCode="#,##0.000;\(#,##0.000\)"/>
    <numFmt numFmtId="176" formatCode="#,##0.00;\(#,##0.00\)"/>
    <numFmt numFmtId="177" formatCode="#,##0.00;\ \(#,##0.00\);\ \-"/>
    <numFmt numFmtId="178" formatCode="#,##0.000;\ \(#,##0.000\);\ \-"/>
    <numFmt numFmtId="179" formatCode="#,##0.0;\(#,##0.0\)"/>
    <numFmt numFmtId="180" formatCode="0.0"/>
    <numFmt numFmtId="181" formatCode="#,##0.0"/>
    <numFmt numFmtId="182" formatCode="#,##0.00_ ;\-#,##0.00\ "/>
    <numFmt numFmtId="183" formatCode="_-* #,##0.0_-;\-* #,##0.0_-;_-* &quot;-&quot;??_-;_-@_-"/>
  </numFmts>
  <fonts count="40" x14ac:knownFonts="1">
    <font>
      <sz val="11"/>
      <color theme="1"/>
      <name val="Calibri"/>
      <family val="2"/>
      <scheme val="minor"/>
    </font>
    <font>
      <sz val="11"/>
      <color theme="1"/>
      <name val="Calibri"/>
      <family val="2"/>
      <scheme val="minor"/>
    </font>
    <font>
      <sz val="10"/>
      <name val="Arial"/>
      <family val="2"/>
    </font>
    <font>
      <sz val="8"/>
      <color indexed="60"/>
      <name val="Arial"/>
      <family val="2"/>
    </font>
    <font>
      <sz val="8"/>
      <name val="Arial"/>
      <family val="2"/>
    </font>
    <font>
      <b/>
      <sz val="8"/>
      <name val="Arial"/>
      <family val="2"/>
    </font>
    <font>
      <sz val="8"/>
      <color indexed="16"/>
      <name val="Arial"/>
      <family val="2"/>
    </font>
    <font>
      <b/>
      <sz val="14"/>
      <name val="Arial"/>
      <family val="2"/>
    </font>
    <font>
      <sz val="10"/>
      <color indexed="16"/>
      <name val="Arial"/>
      <family val="2"/>
    </font>
    <font>
      <b/>
      <sz val="10"/>
      <name val="Arial"/>
      <family val="2"/>
    </font>
    <font>
      <u/>
      <sz val="10"/>
      <color indexed="12"/>
      <name val="Arial"/>
      <family val="2"/>
    </font>
    <font>
      <sz val="8"/>
      <color indexed="10"/>
      <name val="Arial"/>
      <family val="2"/>
    </font>
    <font>
      <sz val="10"/>
      <color theme="3" tint="0.59999389629810485"/>
      <name val="Arial"/>
      <family val="2"/>
    </font>
    <font>
      <sz val="10"/>
      <color theme="3" tint="-0.499984740745262"/>
      <name val="Arial"/>
      <family val="2"/>
    </font>
    <font>
      <sz val="10"/>
      <color theme="3" tint="-0.249977111117893"/>
      <name val="Arial"/>
      <family val="2"/>
    </font>
    <font>
      <sz val="10"/>
      <color theme="5" tint="-0.249977111117893"/>
      <name val="Arial"/>
      <family val="2"/>
    </font>
    <font>
      <u/>
      <sz val="10"/>
      <color theme="3" tint="0.59999389629810485"/>
      <name val="Arial"/>
      <family val="2"/>
    </font>
    <font>
      <sz val="11"/>
      <color theme="1"/>
      <name val="Arial"/>
      <family val="2"/>
    </font>
    <font>
      <b/>
      <sz val="11"/>
      <color theme="0"/>
      <name val="Arial"/>
      <family val="2"/>
    </font>
    <font>
      <sz val="11"/>
      <color theme="0"/>
      <name val="Arial"/>
      <family val="2"/>
    </font>
    <font>
      <sz val="8"/>
      <color theme="3"/>
      <name val="Arial"/>
      <family val="2"/>
    </font>
    <font>
      <sz val="8"/>
      <color theme="1"/>
      <name val="Arial"/>
      <family val="2"/>
    </font>
    <font>
      <b/>
      <sz val="8"/>
      <color theme="1"/>
      <name val="Arial"/>
      <family val="2"/>
    </font>
    <font>
      <b/>
      <sz val="8"/>
      <color theme="0"/>
      <name val="Arial"/>
      <family val="2"/>
    </font>
    <font>
      <sz val="8"/>
      <color theme="3" tint="-0.499984740745262"/>
      <name val="Arial"/>
      <family val="2"/>
    </font>
    <font>
      <sz val="8"/>
      <color theme="0"/>
      <name val="Arial"/>
      <family val="2"/>
    </font>
    <font>
      <sz val="8"/>
      <color theme="0" tint="-0.499984740745262"/>
      <name val="Arial"/>
      <family val="2"/>
    </font>
    <font>
      <i/>
      <sz val="8"/>
      <color theme="1"/>
      <name val="Arial"/>
      <family val="2"/>
    </font>
    <font>
      <b/>
      <i/>
      <sz val="8"/>
      <color theme="1"/>
      <name val="Arial"/>
      <family val="2"/>
    </font>
    <font>
      <i/>
      <sz val="8"/>
      <color theme="0" tint="-0.499984740745262"/>
      <name val="Arial"/>
      <family val="2"/>
    </font>
    <font>
      <sz val="10"/>
      <color theme="2" tint="-0.89999084444715716"/>
      <name val="Arial"/>
      <family val="2"/>
    </font>
    <font>
      <i/>
      <sz val="8"/>
      <name val="Arial"/>
      <family val="2"/>
    </font>
    <font>
      <sz val="8"/>
      <color theme="2" tint="-0.89999084444715716"/>
      <name val="Arial"/>
      <family val="2"/>
    </font>
    <font>
      <sz val="8"/>
      <color rgb="FF00B050"/>
      <name val="Arial"/>
      <family val="2"/>
    </font>
    <font>
      <i/>
      <sz val="8"/>
      <color rgb="FFFF0000"/>
      <name val="Arial"/>
      <family val="2"/>
    </font>
    <font>
      <sz val="10"/>
      <color rgb="FF00B050"/>
      <name val="Arial"/>
      <family val="2"/>
    </font>
    <font>
      <b/>
      <sz val="8"/>
      <color theme="2" tint="-0.89999084444715716"/>
      <name val="Arial"/>
      <family val="2"/>
    </font>
    <font>
      <sz val="8"/>
      <color rgb="FFFF0000"/>
      <name val="Arial"/>
      <family val="2"/>
    </font>
    <font>
      <b/>
      <sz val="8"/>
      <color rgb="FFFF0000"/>
      <name val="Arial"/>
      <family val="2"/>
    </font>
    <font>
      <u/>
      <sz val="8"/>
      <color rgb="FFFF0000"/>
      <name val="Arial"/>
      <family val="2"/>
    </font>
  </fonts>
  <fills count="8">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theme="3" tint="-0.499984740745262"/>
        <bgColor indexed="64"/>
      </patternFill>
    </fill>
    <fill>
      <patternFill patternType="lightUp">
        <bgColor theme="0"/>
      </patternFill>
    </fill>
    <fill>
      <patternFill patternType="solid">
        <fgColor theme="0" tint="-0.14999847407452621"/>
        <bgColor indexed="64"/>
      </patternFill>
    </fill>
    <fill>
      <patternFill patternType="solid">
        <fgColor rgb="FFFFFF00"/>
        <bgColor indexed="64"/>
      </patternFill>
    </fill>
  </fills>
  <borders count="6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bottom/>
      <diagonal/>
    </border>
    <border>
      <left/>
      <right/>
      <top/>
      <bottom style="thin">
        <color indexed="64"/>
      </bottom>
      <diagonal/>
    </border>
    <border>
      <left/>
      <right/>
      <top/>
      <bottom style="medium">
        <color indexed="64"/>
      </bottom>
      <diagonal/>
    </border>
    <border>
      <left style="thin">
        <color theme="0" tint="-0.14996795556505021"/>
      </left>
      <right style="thin">
        <color theme="0" tint="-0.14996795556505021"/>
      </right>
      <top/>
      <bottom style="medium">
        <color indexed="64"/>
      </bottom>
      <diagonal/>
    </border>
    <border>
      <left style="thin">
        <color theme="0" tint="-0.14996795556505021"/>
      </left>
      <right style="thin">
        <color theme="0" tint="-0.14996795556505021"/>
      </right>
      <top/>
      <bottom style="thin">
        <color indexed="64"/>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medium">
        <color indexed="64"/>
      </bottom>
      <diagonal/>
    </border>
    <border>
      <left/>
      <right style="thin">
        <color theme="0" tint="-0.14996795556505021"/>
      </right>
      <top/>
      <bottom style="medium">
        <color indexed="64"/>
      </bottom>
      <diagonal/>
    </border>
    <border>
      <left style="thin">
        <color theme="0" tint="-0.14996795556505021"/>
      </left>
      <right/>
      <top/>
      <bottom style="thin">
        <color indexed="64"/>
      </bottom>
      <diagonal/>
    </border>
    <border>
      <left/>
      <right style="thin">
        <color theme="0" tint="-0.14996795556505021"/>
      </right>
      <top/>
      <bottom style="thin">
        <color indexed="64"/>
      </bottom>
      <diagonal/>
    </border>
    <border>
      <left style="thin">
        <color theme="0" tint="-0.14993743705557422"/>
      </left>
      <right/>
      <top style="thin">
        <color theme="0" tint="-0.14993743705557422"/>
      </top>
      <bottom/>
      <diagonal/>
    </border>
    <border>
      <left/>
      <right style="thin">
        <color theme="0" tint="-0.14993743705557422"/>
      </right>
      <top style="thin">
        <color theme="0" tint="-0.14993743705557422"/>
      </top>
      <bottom/>
      <diagonal/>
    </border>
    <border>
      <left style="thin">
        <color theme="0" tint="-0.14993743705557422"/>
      </left>
      <right/>
      <top/>
      <bottom style="thin">
        <color indexed="64"/>
      </bottom>
      <diagonal/>
    </border>
    <border>
      <left/>
      <right style="thin">
        <color theme="0" tint="-0.14993743705557422"/>
      </right>
      <top/>
      <bottom style="thin">
        <color indexed="64"/>
      </bottom>
      <diagonal/>
    </border>
    <border>
      <left style="thin">
        <color theme="0" tint="-0.14993743705557422"/>
      </left>
      <right/>
      <top/>
      <bottom/>
      <diagonal/>
    </border>
    <border>
      <left/>
      <right style="thin">
        <color theme="0" tint="-0.14993743705557422"/>
      </right>
      <top/>
      <bottom/>
      <diagonal/>
    </border>
    <border>
      <left style="thin">
        <color theme="0" tint="-0.14993743705557422"/>
      </left>
      <right/>
      <top style="thin">
        <color indexed="64"/>
      </top>
      <bottom style="thin">
        <color theme="0" tint="-0.14990691854609822"/>
      </bottom>
      <diagonal/>
    </border>
    <border>
      <left/>
      <right style="thin">
        <color theme="0" tint="-0.14993743705557422"/>
      </right>
      <top style="thin">
        <color indexed="64"/>
      </top>
      <bottom style="thin">
        <color theme="0" tint="-0.14990691854609822"/>
      </bottom>
      <diagonal/>
    </border>
    <border>
      <left/>
      <right style="thin">
        <color theme="0" tint="-0.14996795556505021"/>
      </right>
      <top style="thin">
        <color indexed="64"/>
      </top>
      <bottom style="thin">
        <color theme="0" tint="-0.14990691854609822"/>
      </bottom>
      <diagonal/>
    </border>
    <border>
      <left/>
      <right/>
      <top style="thin">
        <color indexed="64"/>
      </top>
      <bottom style="thin">
        <color theme="0" tint="-0.14990691854609822"/>
      </bottom>
      <diagonal/>
    </border>
    <border>
      <left style="thin">
        <color theme="0" tint="-0.14996795556505021"/>
      </left>
      <right/>
      <top style="thin">
        <color indexed="64"/>
      </top>
      <bottom style="thin">
        <color theme="0" tint="-0.14990691854609822"/>
      </bottom>
      <diagonal/>
    </border>
    <border>
      <left/>
      <right/>
      <top style="thin">
        <color theme="0" tint="-0.14993743705557422"/>
      </top>
      <bottom/>
      <diagonal/>
    </border>
    <border>
      <left style="thin">
        <color theme="0" tint="-0.14996795556505021"/>
      </left>
      <right/>
      <top/>
      <bottom style="thin">
        <color theme="0"/>
      </bottom>
      <diagonal/>
    </border>
    <border>
      <left style="thin">
        <color theme="0" tint="-0.14996795556505021"/>
      </left>
      <right/>
      <top style="thin">
        <color theme="0"/>
      </top>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6795556505021"/>
      </left>
      <right/>
      <top/>
      <bottom style="thin">
        <color theme="0" tint="-0.14996795556505021"/>
      </bottom>
      <diagonal/>
    </border>
    <border>
      <left/>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style="thin">
        <color theme="0" tint="-0.14996795556505021"/>
      </left>
      <right style="thin">
        <color theme="0" tint="-0.14993743705557422"/>
      </right>
      <top/>
      <bottom/>
      <diagonal/>
    </border>
    <border>
      <left style="thin">
        <color theme="0" tint="-0.14993743705557422"/>
      </left>
      <right style="thin">
        <color theme="0" tint="-0.14993743705557422"/>
      </right>
      <top/>
      <bottom/>
      <diagonal/>
    </border>
    <border>
      <left style="thin">
        <color theme="0" tint="-0.14996795556505021"/>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style="thin">
        <color theme="0" tint="-0.14993743705557422"/>
      </left>
      <right style="thin">
        <color theme="0" tint="-0.14993743705557422"/>
      </right>
      <top style="thin">
        <color theme="0" tint="-0.14996795556505021"/>
      </top>
      <bottom style="thin">
        <color theme="0" tint="-0.14993743705557422"/>
      </bottom>
      <diagonal/>
    </border>
    <border>
      <left style="thin">
        <color theme="0" tint="-0.14993743705557422"/>
      </left>
      <right style="thin">
        <color theme="0" tint="-0.14996795556505021"/>
      </right>
      <top style="thin">
        <color theme="0" tint="-0.14996795556505021"/>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6795556505021"/>
      </bottom>
      <diagonal/>
    </border>
    <border>
      <left style="thin">
        <color theme="0" tint="-0.14996795556505021"/>
      </left>
      <right/>
      <top/>
      <bottom style="thin">
        <color theme="0" tint="-0.14993743705557422"/>
      </bottom>
      <diagonal/>
    </border>
    <border>
      <left/>
      <right style="thin">
        <color theme="0" tint="-0.14996795556505021"/>
      </right>
      <top/>
      <bottom style="thin">
        <color theme="0" tint="-0.14993743705557422"/>
      </bottom>
      <diagonal/>
    </border>
    <border>
      <left style="thin">
        <color theme="0" tint="-0.14996795556505021"/>
      </left>
      <right/>
      <top style="thin">
        <color theme="0" tint="-0.14993743705557422"/>
      </top>
      <bottom style="thin">
        <color theme="0" tint="-0.14993743705557422"/>
      </bottom>
      <diagonal/>
    </border>
    <border>
      <left/>
      <right style="thin">
        <color theme="0" tint="-0.14996795556505021"/>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style="thin">
        <color theme="0" tint="-0.14996795556505021"/>
      </right>
      <top style="thin">
        <color theme="0" tint="-0.14993743705557422"/>
      </top>
      <bottom style="thin">
        <color theme="0" tint="-0.14996795556505021"/>
      </bottom>
      <diagonal/>
    </border>
    <border>
      <left/>
      <right/>
      <top style="thin">
        <color theme="0" tint="-0.14993743705557422"/>
      </top>
      <bottom style="thin">
        <color theme="0" tint="-0.14993743705557422"/>
      </bottom>
      <diagonal/>
    </border>
    <border>
      <left/>
      <right/>
      <top style="thin">
        <color theme="0" tint="-0.14993743705557422"/>
      </top>
      <bottom style="thin">
        <color theme="0" tint="-0.14996795556505021"/>
      </bottom>
      <diagonal/>
    </border>
    <border>
      <left/>
      <right style="thin">
        <color theme="0" tint="-0.14993743705557422"/>
      </right>
      <top style="thin">
        <color theme="0" tint="-0.14993743705557422"/>
      </top>
      <bottom style="thin">
        <color theme="0" tint="-0.14996795556505021"/>
      </bottom>
      <diagonal/>
    </border>
    <border>
      <left style="thin">
        <color theme="0" tint="-0.14993743705557422"/>
      </left>
      <right style="thin">
        <color theme="0" tint="-0.14993743705557422"/>
      </right>
      <top style="thin">
        <color theme="0" tint="-0.14996795556505021"/>
      </top>
      <bottom/>
      <diagonal/>
    </border>
    <border>
      <left/>
      <right style="thin">
        <color theme="0" tint="-0.14993743705557422"/>
      </right>
      <top style="thin">
        <color theme="0" tint="-0.14996795556505021"/>
      </top>
      <bottom style="thin">
        <color theme="0" tint="-0.14993743705557422"/>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3743705557422"/>
      </top>
      <bottom style="thin">
        <color theme="0" tint="-0.14993743705557422"/>
      </bottom>
      <diagonal/>
    </border>
    <border>
      <left style="thin">
        <color theme="0" tint="-0.14990691854609822"/>
      </left>
      <right style="thin">
        <color theme="0" tint="-0.14996795556505021"/>
      </right>
      <top style="thin">
        <color theme="0" tint="-0.14993743705557422"/>
      </top>
      <bottom style="thin">
        <color theme="0" tint="-0.14990691854609822"/>
      </bottom>
      <diagonal/>
    </border>
    <border>
      <left style="thin">
        <color theme="0" tint="-0.14990691854609822"/>
      </left>
      <right style="thin">
        <color theme="0" tint="-0.14990691854609822"/>
      </right>
      <top style="thin">
        <color theme="0" tint="-0.14993743705557422"/>
      </top>
      <bottom style="thin">
        <color theme="0" tint="-0.14993743705557422"/>
      </bottom>
      <diagonal/>
    </border>
    <border>
      <left/>
      <right/>
      <top/>
      <bottom style="thin">
        <color theme="0" tint="-0.14993743705557422"/>
      </bottom>
      <diagonal/>
    </border>
    <border>
      <left style="thin">
        <color theme="0" tint="-0.14993743705557422"/>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165" fontId="1" fillId="0" borderId="0" applyFont="0" applyFill="0" applyBorder="0" applyAlignment="0" applyProtection="0"/>
    <xf numFmtId="9" fontId="1" fillId="0" borderId="0" applyFont="0" applyFill="0" applyBorder="0" applyAlignment="0" applyProtection="0"/>
    <xf numFmtId="0" fontId="2" fillId="0" borderId="0"/>
    <xf numFmtId="0" fontId="10" fillId="0" borderId="0" applyNumberFormat="0" applyFill="0" applyBorder="0" applyAlignment="0" applyProtection="0">
      <alignment vertical="top"/>
      <protection locked="0"/>
    </xf>
  </cellStyleXfs>
  <cellXfs count="349">
    <xf numFmtId="0" fontId="0" fillId="0" borderId="0" xfId="0"/>
    <xf numFmtId="0" fontId="7" fillId="3" borderId="0" xfId="4" applyFont="1" applyFill="1"/>
    <xf numFmtId="0" fontId="6" fillId="3" borderId="0" xfId="4" applyFont="1" applyFill="1"/>
    <xf numFmtId="0" fontId="2" fillId="3" borderId="0" xfId="4" applyFill="1"/>
    <xf numFmtId="10" fontId="8" fillId="3" borderId="0" xfId="4" applyNumberFormat="1" applyFont="1" applyFill="1"/>
    <xf numFmtId="0" fontId="9" fillId="3" borderId="3" xfId="4" applyFont="1" applyFill="1" applyBorder="1"/>
    <xf numFmtId="169" fontId="8" fillId="3" borderId="3" xfId="4" applyNumberFormat="1" applyFont="1" applyFill="1" applyBorder="1"/>
    <xf numFmtId="0" fontId="2" fillId="3" borderId="3" xfId="4" applyFill="1" applyBorder="1"/>
    <xf numFmtId="170" fontId="8" fillId="3" borderId="0" xfId="4" applyNumberFormat="1" applyFont="1" applyFill="1"/>
    <xf numFmtId="3" fontId="8" fillId="3" borderId="0" xfId="4" applyNumberFormat="1" applyFont="1" applyFill="1"/>
    <xf numFmtId="0" fontId="11" fillId="3" borderId="0" xfId="4" applyFont="1" applyFill="1"/>
    <xf numFmtId="168" fontId="4" fillId="3" borderId="0" xfId="4" applyNumberFormat="1" applyFont="1" applyFill="1"/>
    <xf numFmtId="171" fontId="13" fillId="3" borderId="0" xfId="4" applyNumberFormat="1" applyFont="1" applyFill="1"/>
    <xf numFmtId="0" fontId="14" fillId="3" borderId="0" xfId="4" applyFont="1" applyFill="1"/>
    <xf numFmtId="0" fontId="15" fillId="3" borderId="0" xfId="4" applyFont="1" applyFill="1"/>
    <xf numFmtId="0" fontId="12" fillId="3" borderId="0" xfId="4" applyFont="1" applyFill="1"/>
    <xf numFmtId="0" fontId="16" fillId="3" borderId="0" xfId="5" applyFont="1" applyFill="1" applyBorder="1" applyAlignment="1" applyProtection="1"/>
    <xf numFmtId="168" fontId="16" fillId="3" borderId="0" xfId="5" applyNumberFormat="1" applyFont="1" applyFill="1" applyBorder="1" applyAlignment="1" applyProtection="1"/>
    <xf numFmtId="168" fontId="5" fillId="3" borderId="4" xfId="4" applyNumberFormat="1" applyFont="1" applyFill="1" applyBorder="1"/>
    <xf numFmtId="168" fontId="4" fillId="3" borderId="4" xfId="4" applyNumberFormat="1" applyFont="1" applyFill="1" applyBorder="1"/>
    <xf numFmtId="0" fontId="18" fillId="4" borderId="0" xfId="0" applyFont="1" applyFill="1"/>
    <xf numFmtId="0" fontId="17" fillId="3" borderId="0" xfId="0" applyFont="1" applyFill="1"/>
    <xf numFmtId="0" fontId="19" fillId="4" borderId="0" xfId="0" applyFont="1" applyFill="1"/>
    <xf numFmtId="0" fontId="4" fillId="3" borderId="0" xfId="0" applyFont="1" applyFill="1" applyAlignment="1">
      <alignment vertical="center"/>
    </xf>
    <xf numFmtId="0" fontId="21" fillId="3" borderId="0" xfId="0" applyFont="1" applyFill="1" applyAlignment="1">
      <alignment vertical="center"/>
    </xf>
    <xf numFmtId="0" fontId="21" fillId="3" borderId="0" xfId="0" applyFont="1" applyFill="1" applyAlignment="1">
      <alignment horizontal="center" vertical="center"/>
    </xf>
    <xf numFmtId="0" fontId="20" fillId="2" borderId="1" xfId="0" applyFont="1" applyFill="1" applyBorder="1" applyAlignment="1">
      <alignment vertical="center"/>
    </xf>
    <xf numFmtId="10" fontId="20" fillId="2" borderId="1" xfId="0" applyNumberFormat="1" applyFont="1" applyFill="1" applyBorder="1" applyAlignment="1">
      <alignment vertical="center"/>
    </xf>
    <xf numFmtId="10" fontId="20" fillId="2" borderId="1" xfId="3" applyNumberFormat="1" applyFont="1" applyFill="1" applyBorder="1" applyAlignment="1">
      <alignment vertical="center"/>
    </xf>
    <xf numFmtId="3" fontId="20" fillId="2" borderId="1" xfId="0" applyNumberFormat="1" applyFont="1" applyFill="1" applyBorder="1" applyAlignment="1">
      <alignment vertical="center"/>
    </xf>
    <xf numFmtId="0" fontId="21" fillId="3" borderId="0" xfId="0" applyFont="1" applyFill="1"/>
    <xf numFmtId="0" fontId="22" fillId="3" borderId="0" xfId="0" applyFont="1" applyFill="1"/>
    <xf numFmtId="0" fontId="22" fillId="3" borderId="0" xfId="0" applyFont="1" applyFill="1" applyAlignment="1">
      <alignment vertical="center"/>
    </xf>
    <xf numFmtId="168" fontId="5" fillId="3" borderId="0" xfId="4" applyNumberFormat="1" applyFont="1" applyFill="1"/>
    <xf numFmtId="0" fontId="21" fillId="4" borderId="0" xfId="0" applyFont="1" applyFill="1"/>
    <xf numFmtId="0" fontId="23" fillId="4" borderId="0" xfId="0" applyFont="1" applyFill="1"/>
    <xf numFmtId="9" fontId="20" fillId="2" borderId="1" xfId="3" applyFont="1" applyFill="1" applyBorder="1" applyAlignment="1">
      <alignment vertical="center"/>
    </xf>
    <xf numFmtId="3" fontId="24" fillId="3" borderId="1" xfId="0" applyNumberFormat="1" applyFont="1" applyFill="1" applyBorder="1" applyAlignment="1">
      <alignment vertical="center"/>
    </xf>
    <xf numFmtId="167" fontId="20" fillId="2" borderId="1" xfId="3" applyNumberFormat="1" applyFont="1" applyFill="1" applyBorder="1" applyAlignment="1">
      <alignment vertical="center"/>
    </xf>
    <xf numFmtId="0" fontId="25" fillId="4" borderId="0" xfId="0" applyFont="1" applyFill="1"/>
    <xf numFmtId="0" fontId="21" fillId="3" borderId="0" xfId="0" applyFont="1" applyFill="1" applyAlignment="1">
      <alignment horizontal="left" indent="1"/>
    </xf>
    <xf numFmtId="166" fontId="21" fillId="3" borderId="0" xfId="0" applyNumberFormat="1" applyFont="1" applyFill="1" applyAlignment="1">
      <alignment horizontal="center"/>
    </xf>
    <xf numFmtId="3" fontId="20" fillId="2" borderId="0" xfId="0" applyNumberFormat="1" applyFont="1" applyFill="1" applyAlignment="1">
      <alignment vertical="center"/>
    </xf>
    <xf numFmtId="0" fontId="23" fillId="4" borderId="0" xfId="0" applyFont="1" applyFill="1" applyAlignment="1">
      <alignment vertical="center"/>
    </xf>
    <xf numFmtId="0" fontId="23" fillId="4" borderId="0" xfId="0" applyFont="1" applyFill="1" applyAlignment="1">
      <alignment horizontal="right" vertical="center"/>
    </xf>
    <xf numFmtId="168" fontId="3" fillId="3" borderId="0" xfId="0" applyNumberFormat="1" applyFont="1" applyFill="1"/>
    <xf numFmtId="168" fontId="23" fillId="4" borderId="0" xfId="0" applyNumberFormat="1" applyFont="1" applyFill="1"/>
    <xf numFmtId="168" fontId="25" fillId="4" borderId="0" xfId="0" applyNumberFormat="1" applyFont="1" applyFill="1"/>
    <xf numFmtId="168" fontId="25" fillId="3" borderId="0" xfId="0" applyNumberFormat="1" applyFont="1" applyFill="1"/>
    <xf numFmtId="168" fontId="4" fillId="3" borderId="4" xfId="0" applyNumberFormat="1" applyFont="1" applyFill="1" applyBorder="1"/>
    <xf numFmtId="168" fontId="5" fillId="3" borderId="0" xfId="0" applyNumberFormat="1" applyFont="1" applyFill="1"/>
    <xf numFmtId="168" fontId="4" fillId="3" borderId="0" xfId="0" applyNumberFormat="1" applyFont="1" applyFill="1"/>
    <xf numFmtId="168" fontId="5" fillId="3" borderId="4" xfId="0" applyNumberFormat="1" applyFont="1" applyFill="1" applyBorder="1"/>
    <xf numFmtId="49" fontId="25" fillId="4" borderId="0" xfId="0" applyNumberFormat="1" applyFont="1" applyFill="1" applyAlignment="1">
      <alignment horizontal="right"/>
    </xf>
    <xf numFmtId="17" fontId="25" fillId="4" borderId="0" xfId="0" applyNumberFormat="1" applyFont="1" applyFill="1" applyAlignment="1">
      <alignment horizontal="right"/>
    </xf>
    <xf numFmtId="49" fontId="23" fillId="4" borderId="0" xfId="0" applyNumberFormat="1" applyFont="1" applyFill="1" applyAlignment="1">
      <alignment horizontal="right"/>
    </xf>
    <xf numFmtId="49" fontId="23" fillId="4" borderId="0" xfId="0" applyNumberFormat="1" applyFont="1" applyFill="1" applyAlignment="1">
      <alignment horizontal="center"/>
    </xf>
    <xf numFmtId="17" fontId="23" fillId="4" borderId="0" xfId="0" applyNumberFormat="1" applyFont="1" applyFill="1" applyAlignment="1">
      <alignment horizontal="center"/>
    </xf>
    <xf numFmtId="0" fontId="23" fillId="4" borderId="0" xfId="0" applyFont="1" applyFill="1" applyAlignment="1">
      <alignment horizontal="center" vertical="center"/>
    </xf>
    <xf numFmtId="0" fontId="27" fillId="3" borderId="0" xfId="0" applyFont="1" applyFill="1"/>
    <xf numFmtId="0" fontId="28" fillId="3" borderId="0" xfId="0" applyFont="1" applyFill="1"/>
    <xf numFmtId="49" fontId="26" fillId="3" borderId="0" xfId="0" applyNumberFormat="1" applyFont="1" applyFill="1" applyAlignment="1">
      <alignment horizontal="right"/>
    </xf>
    <xf numFmtId="0" fontId="30" fillId="3" borderId="0" xfId="4" applyFont="1" applyFill="1"/>
    <xf numFmtId="0" fontId="21" fillId="3" borderId="2" xfId="0" applyFont="1" applyFill="1" applyBorder="1"/>
    <xf numFmtId="168" fontId="25" fillId="4" borderId="2" xfId="0" applyNumberFormat="1" applyFont="1" applyFill="1" applyBorder="1"/>
    <xf numFmtId="0" fontId="25" fillId="4" borderId="7" xfId="0" applyFont="1" applyFill="1" applyBorder="1"/>
    <xf numFmtId="0" fontId="25" fillId="4" borderId="8" xfId="0" applyFont="1" applyFill="1" applyBorder="1"/>
    <xf numFmtId="49" fontId="23" fillId="4" borderId="7" xfId="0" applyNumberFormat="1" applyFont="1" applyFill="1" applyBorder="1" applyAlignment="1">
      <alignment horizontal="right"/>
    </xf>
    <xf numFmtId="49" fontId="25" fillId="4" borderId="8" xfId="0" applyNumberFormat="1" applyFont="1" applyFill="1" applyBorder="1" applyAlignment="1">
      <alignment horizontal="right"/>
    </xf>
    <xf numFmtId="0" fontId="23" fillId="4" borderId="7" xfId="0" applyFont="1" applyFill="1" applyBorder="1" applyAlignment="1">
      <alignment horizontal="right" vertical="center"/>
    </xf>
    <xf numFmtId="0" fontId="23" fillId="4" borderId="8" xfId="0" applyFont="1" applyFill="1" applyBorder="1" applyAlignment="1">
      <alignment horizontal="right" vertical="center"/>
    </xf>
    <xf numFmtId="49" fontId="26" fillId="3" borderId="7" xfId="0" applyNumberFormat="1" applyFont="1" applyFill="1" applyBorder="1" applyAlignment="1">
      <alignment horizontal="right"/>
    </xf>
    <xf numFmtId="49" fontId="26" fillId="3" borderId="8" xfId="0" applyNumberFormat="1" applyFont="1" applyFill="1" applyBorder="1" applyAlignment="1">
      <alignment horizontal="right"/>
    </xf>
    <xf numFmtId="0" fontId="21" fillId="3" borderId="7" xfId="0" applyFont="1" applyFill="1" applyBorder="1"/>
    <xf numFmtId="166" fontId="21" fillId="3" borderId="8" xfId="0" applyNumberFormat="1" applyFont="1" applyFill="1" applyBorder="1" applyAlignment="1">
      <alignment horizontal="center"/>
    </xf>
    <xf numFmtId="168" fontId="25" fillId="4" borderId="7" xfId="0" applyNumberFormat="1" applyFont="1" applyFill="1" applyBorder="1"/>
    <xf numFmtId="168" fontId="25" fillId="4" borderId="8" xfId="0" applyNumberFormat="1" applyFont="1" applyFill="1" applyBorder="1"/>
    <xf numFmtId="168" fontId="3" fillId="3" borderId="7" xfId="0" applyNumberFormat="1" applyFont="1" applyFill="1" applyBorder="1"/>
    <xf numFmtId="168" fontId="3" fillId="3" borderId="8" xfId="0" applyNumberFormat="1" applyFont="1" applyFill="1" applyBorder="1"/>
    <xf numFmtId="168" fontId="4" fillId="3" borderId="8" xfId="0" applyNumberFormat="1" applyFont="1" applyFill="1" applyBorder="1"/>
    <xf numFmtId="1" fontId="29" fillId="3" borderId="0" xfId="0" applyNumberFormat="1" applyFont="1" applyFill="1" applyAlignment="1">
      <alignment horizontal="right"/>
    </xf>
    <xf numFmtId="173" fontId="25" fillId="4" borderId="2" xfId="0" applyNumberFormat="1" applyFont="1" applyFill="1" applyBorder="1"/>
    <xf numFmtId="173" fontId="23" fillId="4" borderId="2" xfId="0" applyNumberFormat="1" applyFont="1" applyFill="1" applyBorder="1" applyAlignment="1">
      <alignment horizontal="center"/>
    </xf>
    <xf numFmtId="173" fontId="23" fillId="4" borderId="2" xfId="0" applyNumberFormat="1" applyFont="1" applyFill="1" applyBorder="1" applyAlignment="1">
      <alignment horizontal="center" vertical="center" wrapText="1"/>
    </xf>
    <xf numFmtId="173" fontId="27" fillId="3" borderId="2" xfId="0" applyNumberFormat="1" applyFont="1" applyFill="1" applyBorder="1"/>
    <xf numFmtId="173" fontId="21" fillId="3" borderId="2" xfId="0" applyNumberFormat="1" applyFont="1" applyFill="1" applyBorder="1"/>
    <xf numFmtId="173" fontId="3" fillId="3" borderId="2" xfId="0" applyNumberFormat="1" applyFont="1" applyFill="1" applyBorder="1"/>
    <xf numFmtId="173" fontId="4" fillId="3" borderId="2" xfId="0" applyNumberFormat="1" applyFont="1" applyFill="1" applyBorder="1"/>
    <xf numFmtId="173" fontId="25" fillId="4" borderId="0" xfId="0" applyNumberFormat="1" applyFont="1" applyFill="1"/>
    <xf numFmtId="173" fontId="4" fillId="3" borderId="0" xfId="0" applyNumberFormat="1" applyFont="1" applyFill="1"/>
    <xf numFmtId="173" fontId="4" fillId="3" borderId="8" xfId="0" applyNumberFormat="1" applyFont="1" applyFill="1" applyBorder="1"/>
    <xf numFmtId="173" fontId="32" fillId="3" borderId="0" xfId="1" applyNumberFormat="1" applyFont="1" applyFill="1" applyBorder="1"/>
    <xf numFmtId="173" fontId="21" fillId="3" borderId="2" xfId="1" applyNumberFormat="1" applyFont="1" applyFill="1" applyBorder="1"/>
    <xf numFmtId="0" fontId="21" fillId="3" borderId="3" xfId="0" applyFont="1" applyFill="1" applyBorder="1"/>
    <xf numFmtId="0" fontId="21" fillId="3" borderId="2" xfId="0" applyFont="1" applyFill="1" applyBorder="1" applyAlignment="1">
      <alignment horizontal="left" indent="2"/>
    </xf>
    <xf numFmtId="0" fontId="21" fillId="3" borderId="0" xfId="0" applyFont="1" applyFill="1" applyAlignment="1">
      <alignment horizontal="right" indent="3"/>
    </xf>
    <xf numFmtId="164" fontId="21" fillId="3" borderId="0" xfId="0" applyNumberFormat="1" applyFont="1" applyFill="1" applyAlignment="1">
      <alignment horizontal="center"/>
    </xf>
    <xf numFmtId="164" fontId="21" fillId="3" borderId="0" xfId="0" applyNumberFormat="1" applyFont="1" applyFill="1"/>
    <xf numFmtId="2" fontId="21" fillId="3" borderId="0" xfId="2" applyNumberFormat="1" applyFont="1" applyFill="1" applyBorder="1" applyAlignment="1">
      <alignment horizontal="center"/>
    </xf>
    <xf numFmtId="10" fontId="21" fillId="3" borderId="0" xfId="0" applyNumberFormat="1" applyFont="1" applyFill="1" applyAlignment="1">
      <alignment horizontal="center"/>
    </xf>
    <xf numFmtId="0" fontId="23" fillId="4" borderId="27" xfId="0" applyFont="1" applyFill="1" applyBorder="1"/>
    <xf numFmtId="0" fontId="25" fillId="4" borderId="28" xfId="0" applyFont="1" applyFill="1" applyBorder="1" applyAlignment="1">
      <alignment horizontal="left" indent="1"/>
    </xf>
    <xf numFmtId="0" fontId="21" fillId="3" borderId="29" xfId="0" applyFont="1" applyFill="1" applyBorder="1"/>
    <xf numFmtId="0" fontId="21" fillId="3" borderId="30" xfId="0" applyFont="1" applyFill="1" applyBorder="1" applyAlignment="1">
      <alignment horizontal="left" indent="1"/>
    </xf>
    <xf numFmtId="0" fontId="21" fillId="3" borderId="31" xfId="0" applyFont="1" applyFill="1" applyBorder="1" applyAlignment="1">
      <alignment horizontal="left" indent="2"/>
    </xf>
    <xf numFmtId="173" fontId="23" fillId="4" borderId="2" xfId="0" applyNumberFormat="1" applyFont="1" applyFill="1" applyBorder="1" applyAlignment="1">
      <alignment horizontal="right"/>
    </xf>
    <xf numFmtId="0" fontId="21" fillId="4" borderId="2" xfId="0" applyFont="1" applyFill="1" applyBorder="1" applyAlignment="1">
      <alignment horizontal="left" indent="2"/>
    </xf>
    <xf numFmtId="0" fontId="23" fillId="4" borderId="0" xfId="0" applyFont="1" applyFill="1" applyAlignment="1">
      <alignment horizontal="right"/>
    </xf>
    <xf numFmtId="0" fontId="21" fillId="3" borderId="13" xfId="0" applyFont="1" applyFill="1" applyBorder="1"/>
    <xf numFmtId="0" fontId="21" fillId="3" borderId="14" xfId="0" applyFont="1" applyFill="1" applyBorder="1" applyAlignment="1">
      <alignment horizontal="left" indent="1"/>
    </xf>
    <xf numFmtId="173" fontId="21" fillId="3" borderId="8" xfId="0" applyNumberFormat="1" applyFont="1" applyFill="1" applyBorder="1"/>
    <xf numFmtId="172" fontId="21" fillId="3" borderId="7" xfId="0" applyNumberFormat="1" applyFont="1" applyFill="1" applyBorder="1" applyAlignment="1">
      <alignment horizontal="right"/>
    </xf>
    <xf numFmtId="172" fontId="21" fillId="3" borderId="0" xfId="0" applyNumberFormat="1" applyFont="1" applyFill="1" applyAlignment="1">
      <alignment horizontal="right"/>
    </xf>
    <xf numFmtId="0" fontId="21" fillId="3" borderId="15" xfId="0" applyFont="1" applyFill="1" applyBorder="1"/>
    <xf numFmtId="0" fontId="21" fillId="3" borderId="16" xfId="0" applyFont="1" applyFill="1" applyBorder="1"/>
    <xf numFmtId="0" fontId="27" fillId="3" borderId="17" xfId="0" applyFont="1" applyFill="1" applyBorder="1"/>
    <xf numFmtId="0" fontId="27" fillId="3" borderId="18" xfId="0" applyFont="1" applyFill="1" applyBorder="1"/>
    <xf numFmtId="172" fontId="27" fillId="3" borderId="0" xfId="0" applyNumberFormat="1" applyFont="1" applyFill="1" applyAlignment="1">
      <alignment horizontal="right"/>
    </xf>
    <xf numFmtId="0" fontId="22" fillId="3" borderId="17" xfId="0" applyFont="1" applyFill="1" applyBorder="1"/>
    <xf numFmtId="0" fontId="21" fillId="3" borderId="18" xfId="0" applyFont="1" applyFill="1" applyBorder="1" applyAlignment="1">
      <alignment horizontal="left" indent="1"/>
    </xf>
    <xf numFmtId="0" fontId="21" fillId="3" borderId="17" xfId="0" applyFont="1" applyFill="1" applyBorder="1"/>
    <xf numFmtId="0" fontId="27" fillId="3" borderId="19" xfId="0" applyFont="1" applyFill="1" applyBorder="1"/>
    <xf numFmtId="0" fontId="27" fillId="3" borderId="20" xfId="0" applyFont="1" applyFill="1" applyBorder="1"/>
    <xf numFmtId="0" fontId="27" fillId="3" borderId="22" xfId="0" applyFont="1" applyFill="1" applyBorder="1"/>
    <xf numFmtId="173" fontId="27" fillId="3" borderId="0" xfId="0" applyNumberFormat="1" applyFont="1" applyFill="1" applyAlignment="1">
      <alignment horizontal="right"/>
    </xf>
    <xf numFmtId="0" fontId="23" fillId="4" borderId="32" xfId="0" applyFont="1" applyFill="1" applyBorder="1"/>
    <xf numFmtId="0" fontId="25" fillId="4" borderId="33" xfId="0" applyFont="1" applyFill="1" applyBorder="1" applyAlignment="1">
      <alignment horizontal="left" indent="1"/>
    </xf>
    <xf numFmtId="173" fontId="23" fillId="4" borderId="33" xfId="0" applyNumberFormat="1" applyFont="1" applyFill="1" applyBorder="1" applyAlignment="1">
      <alignment horizontal="right"/>
    </xf>
    <xf numFmtId="0" fontId="21" fillId="4" borderId="33" xfId="0" applyFont="1" applyFill="1" applyBorder="1" applyAlignment="1">
      <alignment horizontal="left" indent="2"/>
    </xf>
    <xf numFmtId="0" fontId="23" fillId="4" borderId="13" xfId="0" applyFont="1" applyFill="1" applyBorder="1" applyAlignment="1">
      <alignment horizontal="right"/>
    </xf>
    <xf numFmtId="0" fontId="23" fillId="4" borderId="24" xfId="0" applyFont="1" applyFill="1" applyBorder="1" applyAlignment="1">
      <alignment horizontal="right"/>
    </xf>
    <xf numFmtId="0" fontId="21" fillId="3" borderId="34" xfId="0" applyFont="1" applyFill="1" applyBorder="1"/>
    <xf numFmtId="0" fontId="21" fillId="3" borderId="35" xfId="0" applyFont="1" applyFill="1" applyBorder="1" applyAlignment="1">
      <alignment horizontal="left" indent="1"/>
    </xf>
    <xf numFmtId="0" fontId="21" fillId="3" borderId="35" xfId="0" applyFont="1" applyFill="1" applyBorder="1" applyAlignment="1">
      <alignment horizontal="left" indent="2"/>
    </xf>
    <xf numFmtId="0" fontId="21" fillId="3" borderId="36" xfId="0" applyFont="1" applyFill="1" applyBorder="1"/>
    <xf numFmtId="0" fontId="21" fillId="3" borderId="37" xfId="0" applyFont="1" applyFill="1" applyBorder="1" applyAlignment="1">
      <alignment horizontal="left" indent="1"/>
    </xf>
    <xf numFmtId="0" fontId="21" fillId="3" borderId="37" xfId="0" applyFont="1" applyFill="1" applyBorder="1" applyAlignment="1">
      <alignment horizontal="left" indent="2"/>
    </xf>
    <xf numFmtId="173" fontId="21" fillId="3" borderId="0" xfId="0" applyNumberFormat="1" applyFont="1" applyFill="1"/>
    <xf numFmtId="172" fontId="21" fillId="3" borderId="0" xfId="0" applyNumberFormat="1" applyFont="1" applyFill="1" applyAlignment="1">
      <alignment horizontal="center"/>
    </xf>
    <xf numFmtId="172" fontId="21" fillId="3" borderId="0" xfId="0" applyNumberFormat="1" applyFont="1" applyFill="1"/>
    <xf numFmtId="1" fontId="23" fillId="4" borderId="8" xfId="0" applyNumberFormat="1" applyFont="1" applyFill="1" applyBorder="1" applyAlignment="1">
      <alignment horizontal="center"/>
    </xf>
    <xf numFmtId="173" fontId="21" fillId="3" borderId="7" xfId="0" applyNumberFormat="1" applyFont="1" applyFill="1" applyBorder="1"/>
    <xf numFmtId="0" fontId="35" fillId="3" borderId="0" xfId="4" applyFont="1" applyFill="1"/>
    <xf numFmtId="0" fontId="21" fillId="3" borderId="45" xfId="0" applyFont="1" applyFill="1" applyBorder="1"/>
    <xf numFmtId="0" fontId="21" fillId="3" borderId="46" xfId="0" applyFont="1" applyFill="1" applyBorder="1" applyAlignment="1">
      <alignment horizontal="left" indent="1"/>
    </xf>
    <xf numFmtId="0" fontId="21" fillId="3" borderId="47" xfId="0" applyFont="1" applyFill="1" applyBorder="1"/>
    <xf numFmtId="0" fontId="21" fillId="3" borderId="48" xfId="0" applyFont="1" applyFill="1" applyBorder="1" applyAlignment="1">
      <alignment horizontal="left" indent="1"/>
    </xf>
    <xf numFmtId="0" fontId="21" fillId="3" borderId="49" xfId="0" applyFont="1" applyFill="1" applyBorder="1"/>
    <xf numFmtId="0" fontId="21" fillId="3" borderId="50" xfId="0" applyFont="1" applyFill="1" applyBorder="1" applyAlignment="1">
      <alignment horizontal="left" indent="1"/>
    </xf>
    <xf numFmtId="173" fontId="32" fillId="3" borderId="51" xfId="1" applyNumberFormat="1" applyFont="1" applyFill="1" applyBorder="1"/>
    <xf numFmtId="174" fontId="31" fillId="3" borderId="51" xfId="0" applyNumberFormat="1" applyFont="1" applyFill="1" applyBorder="1" applyAlignment="1">
      <alignment horizontal="right"/>
    </xf>
    <xf numFmtId="167" fontId="32" fillId="3" borderId="48" xfId="3" applyNumberFormat="1" applyFont="1" applyFill="1" applyBorder="1"/>
    <xf numFmtId="173" fontId="32" fillId="5" borderId="52" xfId="1" applyNumberFormat="1" applyFont="1" applyFill="1" applyBorder="1"/>
    <xf numFmtId="173" fontId="32" fillId="3" borderId="52" xfId="1" applyNumberFormat="1" applyFont="1" applyFill="1" applyBorder="1"/>
    <xf numFmtId="173" fontId="32" fillId="5" borderId="53" xfId="1" applyNumberFormat="1" applyFont="1" applyFill="1" applyBorder="1"/>
    <xf numFmtId="173" fontId="23" fillId="4" borderId="7" xfId="0" applyNumberFormat="1" applyFont="1" applyFill="1" applyBorder="1" applyAlignment="1">
      <alignment horizontal="right"/>
    </xf>
    <xf numFmtId="0" fontId="21" fillId="3" borderId="43" xfId="0" applyFont="1" applyFill="1" applyBorder="1" applyAlignment="1">
      <alignment horizontal="left" indent="2"/>
    </xf>
    <xf numFmtId="0" fontId="21" fillId="3" borderId="44" xfId="0" applyFont="1" applyFill="1" applyBorder="1" applyAlignment="1">
      <alignment horizontal="left" indent="2"/>
    </xf>
    <xf numFmtId="0" fontId="21" fillId="4" borderId="35" xfId="0" applyFont="1" applyFill="1" applyBorder="1" applyAlignment="1">
      <alignment horizontal="left" indent="2"/>
    </xf>
    <xf numFmtId="9" fontId="24" fillId="3" borderId="1" xfId="3" applyFont="1" applyFill="1" applyBorder="1" applyAlignment="1">
      <alignment vertical="center"/>
    </xf>
    <xf numFmtId="167" fontId="20" fillId="2" borderId="0" xfId="3" applyNumberFormat="1" applyFont="1" applyFill="1" applyBorder="1" applyAlignment="1">
      <alignment vertical="center"/>
    </xf>
    <xf numFmtId="167" fontId="24" fillId="3" borderId="1" xfId="3" applyNumberFormat="1" applyFont="1" applyFill="1" applyBorder="1" applyAlignment="1">
      <alignment vertical="center"/>
    </xf>
    <xf numFmtId="175" fontId="21" fillId="3" borderId="0" xfId="1" applyNumberFormat="1" applyFont="1" applyFill="1" applyBorder="1"/>
    <xf numFmtId="175" fontId="4" fillId="3" borderId="4" xfId="0" applyNumberFormat="1" applyFont="1" applyFill="1" applyBorder="1"/>
    <xf numFmtId="175" fontId="27" fillId="3" borderId="0" xfId="1" applyNumberFormat="1" applyFont="1" applyFill="1" applyBorder="1"/>
    <xf numFmtId="175" fontId="21" fillId="3" borderId="0" xfId="0" applyNumberFormat="1" applyFont="1" applyFill="1"/>
    <xf numFmtId="175" fontId="4" fillId="3" borderId="0" xfId="0" applyNumberFormat="1" applyFont="1" applyFill="1"/>
    <xf numFmtId="175" fontId="21" fillId="3" borderId="0" xfId="0" applyNumberFormat="1" applyFont="1" applyFill="1" applyAlignment="1">
      <alignment horizontal="center"/>
    </xf>
    <xf numFmtId="175" fontId="21" fillId="3" borderId="3" xfId="1" applyNumberFormat="1" applyFont="1" applyFill="1" applyBorder="1"/>
    <xf numFmtId="175" fontId="25" fillId="4" borderId="0" xfId="0" applyNumberFormat="1" applyFont="1" applyFill="1"/>
    <xf numFmtId="175" fontId="25" fillId="3" borderId="0" xfId="0" applyNumberFormat="1" applyFont="1" applyFill="1"/>
    <xf numFmtId="175" fontId="27" fillId="3" borderId="0" xfId="0" applyNumberFormat="1" applyFont="1" applyFill="1"/>
    <xf numFmtId="176" fontId="21" fillId="3" borderId="2" xfId="1" applyNumberFormat="1" applyFont="1" applyFill="1" applyBorder="1"/>
    <xf numFmtId="176" fontId="21" fillId="3" borderId="2" xfId="0" applyNumberFormat="1" applyFont="1" applyFill="1" applyBorder="1"/>
    <xf numFmtId="176" fontId="4" fillId="3" borderId="5" xfId="0" applyNumberFormat="1" applyFont="1" applyFill="1" applyBorder="1"/>
    <xf numFmtId="176" fontId="4" fillId="3" borderId="4" xfId="0" applyNumberFormat="1" applyFont="1" applyFill="1" applyBorder="1"/>
    <xf numFmtId="176" fontId="4" fillId="3" borderId="9" xfId="0" applyNumberFormat="1" applyFont="1" applyFill="1" applyBorder="1"/>
    <xf numFmtId="176" fontId="4" fillId="3" borderId="10" xfId="0" applyNumberFormat="1" applyFont="1" applyFill="1" applyBorder="1"/>
    <xf numFmtId="176" fontId="21" fillId="3" borderId="0" xfId="0" applyNumberFormat="1" applyFont="1" applyFill="1"/>
    <xf numFmtId="176" fontId="21" fillId="3" borderId="7" xfId="0" applyNumberFormat="1" applyFont="1" applyFill="1" applyBorder="1"/>
    <xf numFmtId="176" fontId="21" fillId="3" borderId="0" xfId="0" applyNumberFormat="1" applyFont="1" applyFill="1" applyAlignment="1">
      <alignment horizontal="left" indent="1"/>
    </xf>
    <xf numFmtId="176" fontId="21" fillId="3" borderId="8" xfId="0" applyNumberFormat="1" applyFont="1" applyFill="1" applyBorder="1" applyAlignment="1">
      <alignment horizontal="center"/>
    </xf>
    <xf numFmtId="176" fontId="21" fillId="3" borderId="0" xfId="1" applyNumberFormat="1" applyFont="1" applyFill="1" applyBorder="1"/>
    <xf numFmtId="176" fontId="21" fillId="3" borderId="7" xfId="1" applyNumberFormat="1" applyFont="1" applyFill="1" applyBorder="1"/>
    <xf numFmtId="176" fontId="21" fillId="3" borderId="8" xfId="1" applyNumberFormat="1" applyFont="1" applyFill="1" applyBorder="1"/>
    <xf numFmtId="176" fontId="21" fillId="3" borderId="3" xfId="1" applyNumberFormat="1" applyFont="1" applyFill="1" applyBorder="1"/>
    <xf numFmtId="176" fontId="21" fillId="3" borderId="12" xfId="1" applyNumberFormat="1" applyFont="1" applyFill="1" applyBorder="1"/>
    <xf numFmtId="176" fontId="27" fillId="3" borderId="2" xfId="1" applyNumberFormat="1" applyFont="1" applyFill="1" applyBorder="1"/>
    <xf numFmtId="176" fontId="27" fillId="3" borderId="0" xfId="1" applyNumberFormat="1" applyFont="1" applyFill="1" applyBorder="1"/>
    <xf numFmtId="176" fontId="27" fillId="3" borderId="7" xfId="1" applyNumberFormat="1" applyFont="1" applyFill="1" applyBorder="1"/>
    <xf numFmtId="176" fontId="27" fillId="3" borderId="8" xfId="1" applyNumberFormat="1" applyFont="1" applyFill="1" applyBorder="1"/>
    <xf numFmtId="176" fontId="21" fillId="3" borderId="8" xfId="0" applyNumberFormat="1" applyFont="1" applyFill="1" applyBorder="1"/>
    <xf numFmtId="176" fontId="4" fillId="3" borderId="2" xfId="0" applyNumberFormat="1" applyFont="1" applyFill="1" applyBorder="1"/>
    <xf numFmtId="176" fontId="4" fillId="3" borderId="0" xfId="0" applyNumberFormat="1" applyFont="1" applyFill="1"/>
    <xf numFmtId="176" fontId="4" fillId="3" borderId="8" xfId="0" applyNumberFormat="1" applyFont="1" applyFill="1" applyBorder="1"/>
    <xf numFmtId="178" fontId="33" fillId="3" borderId="0" xfId="1" applyNumberFormat="1" applyFont="1" applyFill="1" applyBorder="1"/>
    <xf numFmtId="178" fontId="20" fillId="2" borderId="25" xfId="0" applyNumberFormat="1" applyFont="1" applyFill="1" applyBorder="1"/>
    <xf numFmtId="178" fontId="21" fillId="3" borderId="0" xfId="1" applyNumberFormat="1" applyFont="1" applyFill="1" applyBorder="1"/>
    <xf numFmtId="178" fontId="20" fillId="2" borderId="26" xfId="0" applyNumberFormat="1" applyFont="1" applyFill="1" applyBorder="1"/>
    <xf numFmtId="178" fontId="32" fillId="3" borderId="0" xfId="1" applyNumberFormat="1" applyFont="1" applyFill="1" applyBorder="1"/>
    <xf numFmtId="178" fontId="33" fillId="3" borderId="3" xfId="1" applyNumberFormat="1" applyFont="1" applyFill="1" applyBorder="1"/>
    <xf numFmtId="178" fontId="20" fillId="2" borderId="0" xfId="0" applyNumberFormat="1" applyFont="1" applyFill="1"/>
    <xf numFmtId="178" fontId="4" fillId="3" borderId="0" xfId="0" applyNumberFormat="1" applyFont="1" applyFill="1"/>
    <xf numFmtId="177" fontId="21" fillId="3" borderId="2" xfId="1" applyNumberFormat="1" applyFont="1" applyFill="1" applyBorder="1"/>
    <xf numFmtId="177" fontId="21" fillId="3" borderId="7" xfId="1" applyNumberFormat="1" applyFont="1" applyFill="1" applyBorder="1"/>
    <xf numFmtId="177" fontId="21" fillId="3" borderId="0" xfId="1" applyNumberFormat="1" applyFont="1" applyFill="1" applyBorder="1"/>
    <xf numFmtId="177" fontId="21" fillId="3" borderId="11" xfId="1" applyNumberFormat="1" applyFont="1" applyFill="1" applyBorder="1"/>
    <xf numFmtId="177" fontId="21" fillId="3" borderId="3" xfId="1" applyNumberFormat="1" applyFont="1" applyFill="1" applyBorder="1"/>
    <xf numFmtId="177" fontId="21" fillId="3" borderId="6" xfId="1" applyNumberFormat="1" applyFont="1" applyFill="1" applyBorder="1"/>
    <xf numFmtId="179" fontId="21" fillId="3" borderId="8" xfId="0" applyNumberFormat="1" applyFont="1" applyFill="1" applyBorder="1"/>
    <xf numFmtId="179" fontId="21" fillId="3" borderId="12" xfId="0" applyNumberFormat="1" applyFont="1" applyFill="1" applyBorder="1" applyAlignment="1">
      <alignment horizontal="right"/>
    </xf>
    <xf numFmtId="179" fontId="27" fillId="3" borderId="8" xfId="0" applyNumberFormat="1" applyFont="1" applyFill="1" applyBorder="1" applyAlignment="1">
      <alignment horizontal="right"/>
    </xf>
    <xf numFmtId="179" fontId="21" fillId="3" borderId="7" xfId="0" applyNumberFormat="1" applyFont="1" applyFill="1" applyBorder="1" applyAlignment="1">
      <alignment horizontal="right"/>
    </xf>
    <xf numFmtId="179" fontId="21" fillId="3" borderId="0" xfId="0" applyNumberFormat="1" applyFont="1" applyFill="1" applyAlignment="1">
      <alignment horizontal="right"/>
    </xf>
    <xf numFmtId="179" fontId="21" fillId="3" borderId="11" xfId="0" applyNumberFormat="1" applyFont="1" applyFill="1" applyBorder="1" applyAlignment="1">
      <alignment horizontal="right"/>
    </xf>
    <xf numFmtId="179" fontId="21" fillId="3" borderId="3" xfId="0" applyNumberFormat="1" applyFont="1" applyFill="1" applyBorder="1" applyAlignment="1">
      <alignment horizontal="right"/>
    </xf>
    <xf numFmtId="179" fontId="27" fillId="3" borderId="7" xfId="0" applyNumberFormat="1" applyFont="1" applyFill="1" applyBorder="1" applyAlignment="1">
      <alignment horizontal="right"/>
    </xf>
    <xf numFmtId="179" fontId="27" fillId="3" borderId="0" xfId="0" applyNumberFormat="1" applyFont="1" applyFill="1" applyAlignment="1">
      <alignment horizontal="right"/>
    </xf>
    <xf numFmtId="179" fontId="27" fillId="3" borderId="21" xfId="0" applyNumberFormat="1" applyFont="1" applyFill="1" applyBorder="1" applyAlignment="1">
      <alignment horizontal="right"/>
    </xf>
    <xf numFmtId="179" fontId="27" fillId="3" borderId="23" xfId="0" applyNumberFormat="1" applyFont="1" applyFill="1" applyBorder="1" applyAlignment="1">
      <alignment horizontal="right"/>
    </xf>
    <xf numFmtId="179" fontId="27" fillId="3" borderId="22" xfId="0" applyNumberFormat="1" applyFont="1" applyFill="1" applyBorder="1" applyAlignment="1">
      <alignment horizontal="right"/>
    </xf>
    <xf numFmtId="179" fontId="21" fillId="3" borderId="2" xfId="0" applyNumberFormat="1" applyFont="1" applyFill="1" applyBorder="1"/>
    <xf numFmtId="179" fontId="21" fillId="3" borderId="31" xfId="0" applyNumberFormat="1" applyFont="1" applyFill="1" applyBorder="1"/>
    <xf numFmtId="179" fontId="21" fillId="3" borderId="35" xfId="0" applyNumberFormat="1" applyFont="1" applyFill="1" applyBorder="1"/>
    <xf numFmtId="179" fontId="21" fillId="3" borderId="37" xfId="0" applyNumberFormat="1" applyFont="1" applyFill="1" applyBorder="1"/>
    <xf numFmtId="179" fontId="21" fillId="3" borderId="35" xfId="1" applyNumberFormat="1" applyFont="1" applyFill="1" applyBorder="1"/>
    <xf numFmtId="179" fontId="21" fillId="3" borderId="37" xfId="1" applyNumberFormat="1" applyFont="1" applyFill="1" applyBorder="1"/>
    <xf numFmtId="0" fontId="21" fillId="6" borderId="0" xfId="0" applyFont="1" applyFill="1" applyAlignment="1">
      <alignment horizontal="center"/>
    </xf>
    <xf numFmtId="168" fontId="4" fillId="6" borderId="0" xfId="4" applyNumberFormat="1" applyFont="1" applyFill="1" applyAlignment="1">
      <alignment horizontal="center"/>
    </xf>
    <xf numFmtId="0" fontId="33" fillId="3" borderId="0" xfId="0" applyFont="1" applyFill="1" applyAlignment="1">
      <alignment vertical="center"/>
    </xf>
    <xf numFmtId="3" fontId="33" fillId="2" borderId="1" xfId="0" applyNumberFormat="1" applyFont="1" applyFill="1" applyBorder="1" applyAlignment="1">
      <alignment vertical="center"/>
    </xf>
    <xf numFmtId="9" fontId="33" fillId="2" borderId="1" xfId="3" applyFont="1" applyFill="1" applyBorder="1" applyAlignment="1">
      <alignment vertical="center"/>
    </xf>
    <xf numFmtId="9" fontId="33" fillId="3" borderId="1" xfId="3" applyFont="1" applyFill="1" applyBorder="1" applyAlignment="1">
      <alignment vertical="center"/>
    </xf>
    <xf numFmtId="3" fontId="33" fillId="2" borderId="0" xfId="0" applyNumberFormat="1" applyFont="1" applyFill="1" applyAlignment="1">
      <alignment vertical="center"/>
    </xf>
    <xf numFmtId="3" fontId="33" fillId="3" borderId="1" xfId="0" applyNumberFormat="1" applyFont="1" applyFill="1" applyBorder="1" applyAlignment="1">
      <alignment vertical="center"/>
    </xf>
    <xf numFmtId="167" fontId="33" fillId="2" borderId="1" xfId="3" applyNumberFormat="1" applyFont="1" applyFill="1" applyBorder="1" applyAlignment="1">
      <alignment vertical="center"/>
    </xf>
    <xf numFmtId="167" fontId="33" fillId="2" borderId="56" xfId="3" applyNumberFormat="1" applyFont="1" applyFill="1" applyBorder="1" applyAlignment="1">
      <alignment vertical="center"/>
    </xf>
    <xf numFmtId="167" fontId="33" fillId="3" borderId="31" xfId="3" applyNumberFormat="1" applyFont="1" applyFill="1" applyBorder="1" applyAlignment="1">
      <alignment vertical="center"/>
    </xf>
    <xf numFmtId="167" fontId="33" fillId="3" borderId="1" xfId="3" applyNumberFormat="1" applyFont="1" applyFill="1" applyBorder="1" applyAlignment="1">
      <alignment vertical="center"/>
    </xf>
    <xf numFmtId="167" fontId="33" fillId="2" borderId="0" xfId="3" applyNumberFormat="1" applyFont="1" applyFill="1" applyBorder="1" applyAlignment="1">
      <alignment vertical="center"/>
    </xf>
    <xf numFmtId="0" fontId="23" fillId="4" borderId="27" xfId="0" applyFont="1" applyFill="1" applyBorder="1" applyAlignment="1">
      <alignment horizontal="left"/>
    </xf>
    <xf numFmtId="168" fontId="4" fillId="4" borderId="0" xfId="4" applyNumberFormat="1" applyFont="1" applyFill="1"/>
    <xf numFmtId="0" fontId="21" fillId="4" borderId="0" xfId="0" applyFont="1" applyFill="1" applyAlignment="1">
      <alignment vertical="center"/>
    </xf>
    <xf numFmtId="0" fontId="25" fillId="4" borderId="0" xfId="0" applyFont="1" applyFill="1" applyAlignment="1">
      <alignment vertical="center"/>
    </xf>
    <xf numFmtId="0" fontId="22" fillId="6" borderId="0" xfId="0" applyFont="1" applyFill="1" applyAlignment="1">
      <alignment horizontal="center"/>
    </xf>
    <xf numFmtId="168" fontId="5" fillId="6" borderId="0" xfId="4" applyNumberFormat="1" applyFont="1" applyFill="1" applyAlignment="1">
      <alignment horizontal="center"/>
    </xf>
    <xf numFmtId="0" fontId="21" fillId="7" borderId="0" xfId="0" applyFont="1" applyFill="1"/>
    <xf numFmtId="0" fontId="21" fillId="7" borderId="0" xfId="0" quotePrefix="1" applyFont="1" applyFill="1"/>
    <xf numFmtId="3" fontId="20" fillId="7" borderId="1" xfId="0" applyNumberFormat="1" applyFont="1" applyFill="1" applyBorder="1" applyAlignment="1">
      <alignment vertical="center"/>
    </xf>
    <xf numFmtId="0" fontId="20" fillId="3" borderId="0" xfId="0" applyFont="1" applyFill="1" applyAlignment="1">
      <alignment vertical="center"/>
    </xf>
    <xf numFmtId="167" fontId="4" fillId="3" borderId="58" xfId="3" applyNumberFormat="1" applyFont="1" applyFill="1" applyBorder="1"/>
    <xf numFmtId="0" fontId="4" fillId="3" borderId="0" xfId="0" applyFont="1" applyFill="1"/>
    <xf numFmtId="180" fontId="4" fillId="3" borderId="57" xfId="0" applyNumberFormat="1" applyFont="1" applyFill="1" applyBorder="1" applyAlignment="1">
      <alignment vertical="center"/>
    </xf>
    <xf numFmtId="181" fontId="4" fillId="3" borderId="1" xfId="0" applyNumberFormat="1" applyFont="1" applyFill="1" applyBorder="1" applyAlignment="1">
      <alignment vertical="center"/>
    </xf>
    <xf numFmtId="0" fontId="20" fillId="4" borderId="0" xfId="0" applyFont="1" applyFill="1" applyAlignment="1">
      <alignment vertical="center"/>
    </xf>
    <xf numFmtId="3" fontId="20" fillId="7" borderId="0" xfId="0" applyNumberFormat="1" applyFont="1" applyFill="1" applyAlignment="1">
      <alignment vertical="center"/>
    </xf>
    <xf numFmtId="174" fontId="31" fillId="3" borderId="59" xfId="0" applyNumberFormat="1" applyFont="1" applyFill="1" applyBorder="1" applyAlignment="1">
      <alignment horizontal="right"/>
    </xf>
    <xf numFmtId="174" fontId="31" fillId="3" borderId="41" xfId="0" applyNumberFormat="1" applyFont="1" applyFill="1" applyBorder="1" applyAlignment="1">
      <alignment horizontal="right"/>
    </xf>
    <xf numFmtId="181" fontId="20" fillId="3" borderId="0" xfId="0" applyNumberFormat="1" applyFont="1" applyFill="1" applyAlignment="1">
      <alignment vertical="center"/>
    </xf>
    <xf numFmtId="167" fontId="20" fillId="7" borderId="1" xfId="3" applyNumberFormat="1" applyFont="1" applyFill="1" applyBorder="1" applyAlignment="1">
      <alignment vertical="center"/>
    </xf>
    <xf numFmtId="0" fontId="23" fillId="4" borderId="27" xfId="0" applyFont="1" applyFill="1" applyBorder="1" applyAlignment="1">
      <alignment vertical="center"/>
    </xf>
    <xf numFmtId="164" fontId="25" fillId="4" borderId="42" xfId="0" applyNumberFormat="1" applyFont="1" applyFill="1" applyBorder="1" applyAlignment="1">
      <alignment horizontal="center" vertical="center" wrapText="1"/>
    </xf>
    <xf numFmtId="0" fontId="21" fillId="3" borderId="0" xfId="0" applyFont="1" applyFill="1" applyAlignment="1">
      <alignment vertical="center" wrapText="1"/>
    </xf>
    <xf numFmtId="0" fontId="25" fillId="4" borderId="28" xfId="0" applyFont="1" applyFill="1" applyBorder="1" applyAlignment="1">
      <alignment horizontal="left" vertical="center" wrapText="1"/>
    </xf>
    <xf numFmtId="0" fontId="25" fillId="4" borderId="54" xfId="0" applyFont="1" applyFill="1" applyBorder="1" applyAlignment="1">
      <alignment horizontal="center" vertical="center" wrapText="1"/>
    </xf>
    <xf numFmtId="0" fontId="25" fillId="4" borderId="55" xfId="0" applyFont="1" applyFill="1" applyBorder="1" applyAlignment="1">
      <alignment horizontal="center" vertical="center" wrapText="1"/>
    </xf>
    <xf numFmtId="164" fontId="25" fillId="4" borderId="41" xfId="0" applyNumberFormat="1" applyFont="1" applyFill="1" applyBorder="1" applyAlignment="1">
      <alignment horizontal="center" vertical="center" wrapText="1"/>
    </xf>
    <xf numFmtId="166" fontId="21" fillId="3" borderId="0" xfId="0" applyNumberFormat="1" applyFont="1" applyFill="1" applyAlignment="1">
      <alignment horizontal="center" vertical="center" wrapText="1"/>
    </xf>
    <xf numFmtId="0" fontId="5" fillId="2" borderId="7" xfId="0" applyFont="1" applyFill="1" applyBorder="1" applyAlignment="1">
      <alignment vertical="center"/>
    </xf>
    <xf numFmtId="0" fontId="4" fillId="2" borderId="0" xfId="0" applyFont="1" applyFill="1" applyAlignment="1">
      <alignment horizontal="left" vertical="center" wrapText="1"/>
    </xf>
    <xf numFmtId="0" fontId="4" fillId="2" borderId="35" xfId="0" applyFont="1" applyFill="1" applyBorder="1" applyAlignment="1">
      <alignment horizontal="center" vertical="center" wrapText="1"/>
    </xf>
    <xf numFmtId="0" fontId="4" fillId="2" borderId="60" xfId="0" applyFont="1" applyFill="1" applyBorder="1" applyAlignment="1">
      <alignment horizontal="center" vertical="center" wrapText="1"/>
    </xf>
    <xf numFmtId="164" fontId="4" fillId="2" borderId="60" xfId="0" applyNumberFormat="1" applyFont="1" applyFill="1" applyBorder="1" applyAlignment="1">
      <alignment horizontal="center" vertical="center" wrapText="1"/>
    </xf>
    <xf numFmtId="164" fontId="4" fillId="2" borderId="46" xfId="0" applyNumberFormat="1" applyFont="1" applyFill="1" applyBorder="1" applyAlignment="1">
      <alignment horizontal="center" vertical="center" wrapText="1"/>
    </xf>
    <xf numFmtId="0" fontId="5" fillId="2" borderId="60" xfId="0" applyFont="1" applyFill="1" applyBorder="1" applyAlignment="1">
      <alignment horizontal="center" vertical="center" wrapText="1"/>
    </xf>
    <xf numFmtId="173" fontId="36" fillId="3" borderId="51" xfId="1" applyNumberFormat="1" applyFont="1" applyFill="1" applyBorder="1"/>
    <xf numFmtId="173" fontId="36" fillId="3" borderId="52" xfId="1" applyNumberFormat="1" applyFont="1" applyFill="1" applyBorder="1"/>
    <xf numFmtId="175" fontId="4" fillId="3" borderId="0" xfId="1" applyNumberFormat="1" applyFont="1" applyFill="1" applyBorder="1"/>
    <xf numFmtId="9" fontId="20" fillId="2" borderId="1" xfId="0" applyNumberFormat="1" applyFont="1" applyFill="1" applyBorder="1" applyAlignment="1">
      <alignment vertical="center"/>
    </xf>
    <xf numFmtId="9" fontId="20" fillId="2" borderId="1" xfId="1" applyNumberFormat="1" applyFont="1" applyFill="1" applyBorder="1" applyAlignment="1">
      <alignment vertical="center"/>
    </xf>
    <xf numFmtId="178" fontId="4" fillId="3" borderId="0" xfId="1" applyNumberFormat="1" applyFont="1" applyFill="1" applyBorder="1"/>
    <xf numFmtId="178" fontId="4" fillId="3" borderId="3" xfId="1" applyNumberFormat="1" applyFont="1" applyFill="1" applyBorder="1"/>
    <xf numFmtId="175" fontId="31" fillId="3" borderId="0" xfId="1" applyNumberFormat="1" applyFont="1" applyFill="1" applyBorder="1"/>
    <xf numFmtId="175" fontId="4" fillId="3" borderId="3" xfId="1" applyNumberFormat="1" applyFont="1" applyFill="1" applyBorder="1"/>
    <xf numFmtId="176" fontId="21" fillId="3" borderId="11" xfId="1" applyNumberFormat="1" applyFont="1" applyFill="1" applyBorder="1"/>
    <xf numFmtId="178" fontId="4" fillId="2" borderId="0" xfId="1" applyNumberFormat="1" applyFont="1" applyFill="1" applyBorder="1"/>
    <xf numFmtId="178" fontId="4" fillId="3" borderId="63" xfId="1" applyNumberFormat="1" applyFont="1" applyFill="1" applyBorder="1"/>
    <xf numFmtId="9" fontId="37" fillId="2" borderId="1" xfId="3" applyFont="1" applyFill="1" applyBorder="1" applyAlignment="1">
      <alignment vertical="center"/>
    </xf>
    <xf numFmtId="168" fontId="38" fillId="3" borderId="4" xfId="0" applyNumberFormat="1" applyFont="1" applyFill="1" applyBorder="1"/>
    <xf numFmtId="168" fontId="37" fillId="3" borderId="0" xfId="0" applyNumberFormat="1" applyFont="1" applyFill="1"/>
    <xf numFmtId="168" fontId="37" fillId="3" borderId="4" xfId="0" applyNumberFormat="1" applyFont="1" applyFill="1" applyBorder="1"/>
    <xf numFmtId="173" fontId="37" fillId="3" borderId="5" xfId="0" applyNumberFormat="1" applyFont="1" applyFill="1" applyBorder="1"/>
    <xf numFmtId="168" fontId="37" fillId="3" borderId="5" xfId="0" applyNumberFormat="1" applyFont="1" applyFill="1" applyBorder="1"/>
    <xf numFmtId="168" fontId="37" fillId="3" borderId="10" xfId="0" applyNumberFormat="1" applyFont="1" applyFill="1" applyBorder="1"/>
    <xf numFmtId="175" fontId="37" fillId="3" borderId="4" xfId="0" applyNumberFormat="1" applyFont="1" applyFill="1" applyBorder="1"/>
    <xf numFmtId="0" fontId="37" fillId="3" borderId="0" xfId="0" applyFont="1" applyFill="1"/>
    <xf numFmtId="0" fontId="38" fillId="3" borderId="0" xfId="0" applyFont="1" applyFill="1"/>
    <xf numFmtId="173" fontId="37" fillId="3" borderId="2" xfId="0" applyNumberFormat="1" applyFont="1" applyFill="1" applyBorder="1"/>
    <xf numFmtId="0" fontId="37" fillId="3" borderId="2" xfId="0" applyFont="1" applyFill="1" applyBorder="1"/>
    <xf numFmtId="0" fontId="37" fillId="3" borderId="8" xfId="0" applyFont="1" applyFill="1" applyBorder="1"/>
    <xf numFmtId="175" fontId="37" fillId="3" borderId="0" xfId="0" applyNumberFormat="1" applyFont="1" applyFill="1"/>
    <xf numFmtId="168" fontId="37" fillId="3" borderId="8" xfId="0" applyNumberFormat="1" applyFont="1" applyFill="1" applyBorder="1"/>
    <xf numFmtId="177" fontId="37" fillId="3" borderId="2" xfId="1" applyNumberFormat="1" applyFont="1" applyFill="1" applyBorder="1"/>
    <xf numFmtId="177" fontId="37" fillId="3" borderId="2" xfId="0" applyNumberFormat="1" applyFont="1" applyFill="1" applyBorder="1"/>
    <xf numFmtId="177" fontId="37" fillId="3" borderId="0" xfId="1" applyNumberFormat="1" applyFont="1" applyFill="1" applyBorder="1"/>
    <xf numFmtId="173" fontId="37" fillId="3" borderId="0" xfId="0" applyNumberFormat="1" applyFont="1" applyFill="1"/>
    <xf numFmtId="173" fontId="37" fillId="3" borderId="8" xfId="0" applyNumberFormat="1" applyFont="1" applyFill="1" applyBorder="1"/>
    <xf numFmtId="175" fontId="37" fillId="3" borderId="0" xfId="1" applyNumberFormat="1" applyFont="1" applyFill="1" applyBorder="1"/>
    <xf numFmtId="0" fontId="34" fillId="3" borderId="3" xfId="0" applyFont="1" applyFill="1" applyBorder="1"/>
    <xf numFmtId="0" fontId="37" fillId="3" borderId="3" xfId="0" applyFont="1" applyFill="1" applyBorder="1"/>
    <xf numFmtId="177" fontId="37" fillId="3" borderId="6" xfId="1" applyNumberFormat="1" applyFont="1" applyFill="1" applyBorder="1"/>
    <xf numFmtId="177" fontId="37" fillId="3" borderId="6" xfId="0" applyNumberFormat="1" applyFont="1" applyFill="1" applyBorder="1"/>
    <xf numFmtId="177" fontId="37" fillId="3" borderId="11" xfId="1" applyNumberFormat="1" applyFont="1" applyFill="1" applyBorder="1"/>
    <xf numFmtId="177" fontId="37" fillId="3" borderId="3" xfId="1" applyNumberFormat="1" applyFont="1" applyFill="1" applyBorder="1"/>
    <xf numFmtId="173" fontId="37" fillId="3" borderId="3" xfId="0" applyNumberFormat="1" applyFont="1" applyFill="1" applyBorder="1"/>
    <xf numFmtId="173" fontId="37" fillId="3" borderId="12" xfId="0" applyNumberFormat="1" applyFont="1" applyFill="1" applyBorder="1"/>
    <xf numFmtId="175" fontId="37" fillId="3" borderId="3" xfId="0" applyNumberFormat="1" applyFont="1" applyFill="1" applyBorder="1"/>
    <xf numFmtId="175" fontId="37" fillId="3" borderId="3" xfId="1" applyNumberFormat="1" applyFont="1" applyFill="1" applyBorder="1"/>
    <xf numFmtId="173" fontId="37" fillId="3" borderId="0" xfId="1" applyNumberFormat="1" applyFont="1" applyFill="1" applyBorder="1"/>
    <xf numFmtId="173" fontId="37" fillId="3" borderId="7" xfId="0" applyNumberFormat="1" applyFont="1" applyFill="1" applyBorder="1"/>
    <xf numFmtId="0" fontId="37" fillId="3" borderId="38" xfId="0" applyFont="1" applyFill="1" applyBorder="1"/>
    <xf numFmtId="0" fontId="37" fillId="3" borderId="39" xfId="0" applyFont="1" applyFill="1" applyBorder="1"/>
    <xf numFmtId="167" fontId="37" fillId="3" borderId="40" xfId="3" applyNumberFormat="1" applyFont="1" applyFill="1" applyBorder="1"/>
    <xf numFmtId="9" fontId="37" fillId="3" borderId="0" xfId="3" applyFont="1" applyFill="1" applyBorder="1"/>
    <xf numFmtId="182" fontId="37" fillId="3" borderId="2" xfId="0" applyNumberFormat="1" applyFont="1" applyFill="1" applyBorder="1"/>
    <xf numFmtId="178" fontId="37" fillId="3" borderId="0" xfId="1" applyNumberFormat="1" applyFont="1" applyFill="1" applyBorder="1"/>
    <xf numFmtId="175" fontId="37" fillId="2" borderId="0" xfId="1" applyNumberFormat="1" applyFont="1" applyFill="1" applyBorder="1"/>
    <xf numFmtId="0" fontId="37" fillId="3" borderId="0" xfId="0" applyFont="1" applyFill="1" applyAlignment="1">
      <alignment vertical="center"/>
    </xf>
    <xf numFmtId="176" fontId="37" fillId="3" borderId="6" xfId="1" applyNumberFormat="1" applyFont="1" applyFill="1" applyBorder="1"/>
    <xf numFmtId="176" fontId="37" fillId="3" borderId="3" xfId="1" applyNumberFormat="1" applyFont="1" applyFill="1" applyBorder="1"/>
    <xf numFmtId="176" fontId="37" fillId="3" borderId="11" xfId="1" applyNumberFormat="1" applyFont="1" applyFill="1" applyBorder="1"/>
    <xf numFmtId="176" fontId="37" fillId="3" borderId="12" xfId="1" applyNumberFormat="1" applyFont="1" applyFill="1" applyBorder="1"/>
    <xf numFmtId="175" fontId="37" fillId="7" borderId="3" xfId="1" applyNumberFormat="1" applyFont="1" applyFill="1" applyBorder="1"/>
    <xf numFmtId="10" fontId="20" fillId="2" borderId="1" xfId="3" applyNumberFormat="1" applyFont="1" applyFill="1" applyBorder="1" applyAlignment="1">
      <alignment horizontal="right" vertical="center"/>
    </xf>
    <xf numFmtId="167" fontId="4" fillId="3" borderId="1" xfId="0" applyNumberFormat="1" applyFont="1" applyFill="1" applyBorder="1" applyAlignment="1">
      <alignment vertical="center"/>
    </xf>
    <xf numFmtId="183" fontId="21" fillId="3" borderId="0" xfId="1" applyNumberFormat="1" applyFont="1" applyFill="1"/>
    <xf numFmtId="0" fontId="2" fillId="3" borderId="0" xfId="4" quotePrefix="1" applyFill="1"/>
    <xf numFmtId="168" fontId="37" fillId="3" borderId="0" xfId="4" applyNumberFormat="1" applyFont="1" applyFill="1"/>
    <xf numFmtId="168" fontId="38" fillId="3" borderId="4" xfId="4" applyNumberFormat="1" applyFont="1" applyFill="1" applyBorder="1"/>
    <xf numFmtId="168" fontId="37" fillId="3" borderId="4" xfId="4" applyNumberFormat="1" applyFont="1" applyFill="1" applyBorder="1"/>
    <xf numFmtId="167" fontId="21" fillId="3" borderId="63" xfId="3" applyNumberFormat="1" applyFont="1" applyFill="1" applyBorder="1" applyAlignment="1">
      <alignment vertical="center"/>
    </xf>
    <xf numFmtId="9" fontId="4" fillId="3" borderId="0" xfId="3" applyFont="1" applyFill="1" applyBorder="1"/>
    <xf numFmtId="0" fontId="2" fillId="7" borderId="0" xfId="4" quotePrefix="1" applyFill="1"/>
    <xf numFmtId="0" fontId="34" fillId="3" borderId="0" xfId="0" applyFont="1" applyFill="1"/>
    <xf numFmtId="164" fontId="25" fillId="4" borderId="7" xfId="0" applyNumberFormat="1" applyFont="1" applyFill="1" applyBorder="1" applyAlignment="1">
      <alignment horizontal="center" vertical="center" wrapText="1"/>
    </xf>
    <xf numFmtId="164" fontId="25" fillId="4" borderId="0" xfId="0" applyNumberFormat="1" applyFont="1" applyFill="1" applyAlignment="1">
      <alignment horizontal="center" vertical="center" wrapText="1"/>
    </xf>
    <xf numFmtId="0" fontId="25" fillId="4" borderId="61" xfId="0" applyFont="1" applyFill="1" applyBorder="1" applyAlignment="1">
      <alignment horizontal="center" vertical="center" wrapText="1"/>
    </xf>
    <xf numFmtId="0" fontId="25" fillId="4" borderId="62" xfId="0" applyFont="1" applyFill="1" applyBorder="1" applyAlignment="1">
      <alignment horizontal="center" vertical="center" wrapText="1"/>
    </xf>
    <xf numFmtId="0" fontId="25" fillId="4" borderId="55" xfId="0" applyFont="1" applyFill="1" applyBorder="1" applyAlignment="1">
      <alignment horizontal="center" vertical="center" wrapText="1"/>
    </xf>
  </cellXfs>
  <cellStyles count="6">
    <cellStyle name="Comma" xfId="1" builtinId="3"/>
    <cellStyle name="Currency" xfId="2" builtinId="4"/>
    <cellStyle name="Hyperlink" xfId="5" builtinId="8"/>
    <cellStyle name="Normal" xfId="0" builtinId="0"/>
    <cellStyle name="Normal 2" xfId="4" xr:uid="{00000000-0005-0000-0000-000004000000}"/>
    <cellStyle name="Per cent" xfId="3" builtinId="5"/>
  </cellStyles>
  <dxfs count="16">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94D4D"/>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F9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AU" sz="1100"/>
              <a:t>Fund - Hypothetical</a:t>
            </a:r>
            <a:r>
              <a:rPr lang="en-AU" sz="1100" baseline="0"/>
              <a:t> </a:t>
            </a:r>
            <a:r>
              <a:rPr lang="en-AU" sz="1100"/>
              <a:t>Size, Net Assets, Cash-at-bank</a:t>
            </a:r>
          </a:p>
        </c:rich>
      </c:tx>
      <c:overlay val="0"/>
    </c:title>
    <c:autoTitleDeleted val="0"/>
    <c:plotArea>
      <c:layout>
        <c:manualLayout>
          <c:layoutTarget val="inner"/>
          <c:xMode val="edge"/>
          <c:yMode val="edge"/>
          <c:x val="4.4959062128833972E-2"/>
          <c:y val="8.9959509915748775E-2"/>
          <c:w val="0.86807313492593097"/>
          <c:h val="0.83638394610122557"/>
        </c:manualLayout>
      </c:layout>
      <c:barChart>
        <c:barDir val="col"/>
        <c:grouping val="clustered"/>
        <c:varyColors val="0"/>
        <c:ser>
          <c:idx val="0"/>
          <c:order val="0"/>
          <c:tx>
            <c:strRef>
              <c:f>Hypothetical!$C$144</c:f>
              <c:strCache>
                <c:ptCount val="1"/>
                <c:pt idx="0">
                  <c:v>Fund Size</c:v>
                </c:pt>
              </c:strCache>
            </c:strRef>
          </c:tx>
          <c:spPr>
            <a:solidFill>
              <a:schemeClr val="tx2"/>
            </a:solidFill>
            <a:ln>
              <a:solidFill>
                <a:schemeClr val="accent1">
                  <a:lumMod val="40000"/>
                  <a:lumOff val="60000"/>
                </a:schemeClr>
              </a:solidFill>
            </a:ln>
          </c:spPr>
          <c:invertIfNegative val="0"/>
          <c:cat>
            <c:numRef>
              <c:f>Hypothetical!$R$143:$AC$143</c:f>
              <c:numCache>
                <c:formatCode>0</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Hypothetical!$R$144:$AC$144</c:f>
              <c:numCache>
                <c:formatCode>_-* #,##0.0_-;\-* #,##0.0_-;_-* "-"??_-;_-@_-</c:formatCode>
                <c:ptCount val="12"/>
                <c:pt idx="0">
                  <c:v>12.375</c:v>
                </c:pt>
                <c:pt idx="1">
                  <c:v>24.75</c:v>
                </c:pt>
                <c:pt idx="2">
                  <c:v>37.125</c:v>
                </c:pt>
                <c:pt idx="3">
                  <c:v>49.339602635072858</c:v>
                </c:pt>
                <c:pt idx="4">
                  <c:v>73.846351179985959</c:v>
                </c:pt>
                <c:pt idx="5">
                  <c:v>98.252100170120656</c:v>
                </c:pt>
                <c:pt idx="6">
                  <c:v>122.53817328078442</c:v>
                </c:pt>
                <c:pt idx="7">
                  <c:v>146.68516717742014</c:v>
                </c:pt>
                <c:pt idx="8">
                  <c:v>183.04804622637172</c:v>
                </c:pt>
                <c:pt idx="9">
                  <c:v>219.23112196241863</c:v>
                </c:pt>
                <c:pt idx="10">
                  <c:v>255.21303196521174</c:v>
                </c:pt>
                <c:pt idx="11">
                  <c:v>290.97171790470048</c:v>
                </c:pt>
              </c:numCache>
            </c:numRef>
          </c:val>
          <c:extLst>
            <c:ext xmlns:c16="http://schemas.microsoft.com/office/drawing/2014/chart" uri="{C3380CC4-5D6E-409C-BE32-E72D297353CC}">
              <c16:uniqueId val="{00000000-80AB-4617-A38A-DF13E7F1E2D9}"/>
            </c:ext>
          </c:extLst>
        </c:ser>
        <c:ser>
          <c:idx val="1"/>
          <c:order val="1"/>
          <c:tx>
            <c:strRef>
              <c:f>Hypothetical!$C$145</c:f>
              <c:strCache>
                <c:ptCount val="1"/>
                <c:pt idx="0">
                  <c:v>NA</c:v>
                </c:pt>
              </c:strCache>
            </c:strRef>
          </c:tx>
          <c:spPr>
            <a:solidFill>
              <a:schemeClr val="accent1">
                <a:lumMod val="60000"/>
                <a:lumOff val="40000"/>
              </a:schemeClr>
            </a:solidFill>
          </c:spPr>
          <c:invertIfNegative val="0"/>
          <c:cat>
            <c:numRef>
              <c:f>Hypothetical!$R$143:$AC$143</c:f>
              <c:numCache>
                <c:formatCode>0</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Hypothetical!$R$145:$AC$145</c:f>
            </c:numRef>
          </c:val>
          <c:extLst>
            <c:ext xmlns:c16="http://schemas.microsoft.com/office/drawing/2014/chart" uri="{C3380CC4-5D6E-409C-BE32-E72D297353CC}">
              <c16:uniqueId val="{00000001-80AB-4617-A38A-DF13E7F1E2D9}"/>
            </c:ext>
          </c:extLst>
        </c:ser>
        <c:dLbls>
          <c:showLegendKey val="0"/>
          <c:showVal val="0"/>
          <c:showCatName val="0"/>
          <c:showSerName val="0"/>
          <c:showPercent val="0"/>
          <c:showBubbleSize val="0"/>
        </c:dLbls>
        <c:gapWidth val="50"/>
        <c:axId val="119886592"/>
        <c:axId val="119888512"/>
      </c:barChart>
      <c:lineChart>
        <c:grouping val="standard"/>
        <c:varyColors val="0"/>
        <c:ser>
          <c:idx val="2"/>
          <c:order val="2"/>
          <c:tx>
            <c:strRef>
              <c:f>Hypothetical!$C$146</c:f>
              <c:strCache>
                <c:ptCount val="1"/>
                <c:pt idx="0">
                  <c:v>Fund Net Asset Position</c:v>
                </c:pt>
              </c:strCache>
            </c:strRef>
          </c:tx>
          <c:spPr>
            <a:ln w="15875">
              <a:solidFill>
                <a:srgbClr val="FF0000"/>
              </a:solidFill>
              <a:prstDash val="sysDash"/>
            </a:ln>
          </c:spPr>
          <c:marker>
            <c:symbol val="none"/>
          </c:marker>
          <c:cat>
            <c:multiLvlStrRef>
              <c:f>#REF!</c:f>
            </c:multiLvlStrRef>
          </c:cat>
          <c:val>
            <c:numRef>
              <c:f>Hypothetical!$R$146:$AC$146</c:f>
              <c:numCache>
                <c:formatCode>_-* #,##0.0_-;\-* #,##0.0_-;_-* "-"??_-;_-@_-</c:formatCode>
                <c:ptCount val="12"/>
                <c:pt idx="0">
                  <c:v>0</c:v>
                </c:pt>
                <c:pt idx="1">
                  <c:v>5.8781249999999119E-2</c:v>
                </c:pt>
                <c:pt idx="2">
                  <c:v>0.18675035156249464</c:v>
                </c:pt>
                <c:pt idx="3">
                  <c:v>0.11199153450076693</c:v>
                </c:pt>
                <c:pt idx="4">
                  <c:v>0.21296076393170438</c:v>
                </c:pt>
                <c:pt idx="5">
                  <c:v>0.39177627264272985</c:v>
                </c:pt>
                <c:pt idx="6">
                  <c:v>0.65473344925378285</c:v>
                </c:pt>
                <c:pt idx="7">
                  <c:v>0.45657792412367826</c:v>
                </c:pt>
                <c:pt idx="8">
                  <c:v>0.90099352552661571</c:v>
                </c:pt>
                <c:pt idx="9">
                  <c:v>1.5080126961251779</c:v>
                </c:pt>
                <c:pt idx="10">
                  <c:v>2.294983598877792</c:v>
                </c:pt>
                <c:pt idx="11">
                  <c:v>2.0943247294418939</c:v>
                </c:pt>
              </c:numCache>
            </c:numRef>
          </c:val>
          <c:smooth val="0"/>
          <c:extLst>
            <c:ext xmlns:c16="http://schemas.microsoft.com/office/drawing/2014/chart" uri="{C3380CC4-5D6E-409C-BE32-E72D297353CC}">
              <c16:uniqueId val="{00000002-80AB-4617-A38A-DF13E7F1E2D9}"/>
            </c:ext>
          </c:extLst>
        </c:ser>
        <c:ser>
          <c:idx val="3"/>
          <c:order val="3"/>
          <c:tx>
            <c:strRef>
              <c:f>Hypothetical!$C$147</c:f>
              <c:strCache>
                <c:ptCount val="1"/>
                <c:pt idx="0">
                  <c:v>Cash at Bank</c:v>
                </c:pt>
              </c:strCache>
            </c:strRef>
          </c:tx>
          <c:spPr>
            <a:ln w="15875">
              <a:solidFill>
                <a:schemeClr val="tx2">
                  <a:lumMod val="60000"/>
                  <a:lumOff val="40000"/>
                </a:schemeClr>
              </a:solidFill>
              <a:prstDash val="sysDash"/>
            </a:ln>
          </c:spPr>
          <c:marker>
            <c:symbol val="none"/>
          </c:marker>
          <c:cat>
            <c:multiLvlStrRef>
              <c:f>#REF!</c:f>
            </c:multiLvlStrRef>
          </c:cat>
          <c:val>
            <c:numRef>
              <c:f>Hypothetical!$R$147:$AC$147</c:f>
              <c:numCache>
                <c:formatCode>_-* #,##0.0_-;\-* #,##0.0_-;_-* "-"??_-;_-@_-</c:formatCode>
                <c:ptCount val="12"/>
                <c:pt idx="0">
                  <c:v>2.4749999999999996</c:v>
                </c:pt>
                <c:pt idx="1">
                  <c:v>4.6375312499999986</c:v>
                </c:pt>
                <c:pt idx="2">
                  <c:v>6.4840784765624981</c:v>
                </c:pt>
                <c:pt idx="3">
                  <c:v>7.6962024912028424</c:v>
                </c:pt>
                <c:pt idx="4">
                  <c:v>11.132694241677481</c:v>
                </c:pt>
                <c:pt idx="5">
                  <c:v>13.832911384581436</c:v>
                </c:pt>
                <c:pt idx="6">
                  <c:v>15.77267199364343</c:v>
                </c:pt>
                <c:pt idx="7">
                  <c:v>16.375656445225683</c:v>
                </c:pt>
                <c:pt idx="8">
                  <c:v>19.188919531806999</c:v>
                </c:pt>
                <c:pt idx="9">
                  <c:v>20.854049341361499</c:v>
                </c:pt>
                <c:pt idx="10">
                  <c:v>21.341711545278422</c:v>
                </c:pt>
                <c:pt idx="11">
                  <c:v>19.436553463034858</c:v>
                </c:pt>
              </c:numCache>
            </c:numRef>
          </c:val>
          <c:smooth val="0"/>
          <c:extLst>
            <c:ext xmlns:c16="http://schemas.microsoft.com/office/drawing/2014/chart" uri="{C3380CC4-5D6E-409C-BE32-E72D297353CC}">
              <c16:uniqueId val="{00000003-80AB-4617-A38A-DF13E7F1E2D9}"/>
            </c:ext>
          </c:extLst>
        </c:ser>
        <c:dLbls>
          <c:showLegendKey val="0"/>
          <c:showVal val="0"/>
          <c:showCatName val="0"/>
          <c:showSerName val="0"/>
          <c:showPercent val="0"/>
          <c:showBubbleSize val="0"/>
        </c:dLbls>
        <c:marker val="1"/>
        <c:smooth val="0"/>
        <c:axId val="1443275440"/>
        <c:axId val="1443286000"/>
      </c:lineChart>
      <c:catAx>
        <c:axId val="119886592"/>
        <c:scaling>
          <c:orientation val="minMax"/>
        </c:scaling>
        <c:delete val="0"/>
        <c:axPos val="b"/>
        <c:title>
          <c:tx>
            <c:rich>
              <a:bodyPr/>
              <a:lstStyle/>
              <a:p>
                <a:pPr>
                  <a:defRPr/>
                </a:pPr>
                <a:r>
                  <a:rPr lang="en-AU"/>
                  <a:t>Period</a:t>
                </a:r>
              </a:p>
            </c:rich>
          </c:tx>
          <c:layout>
            <c:manualLayout>
              <c:xMode val="edge"/>
              <c:yMode val="edge"/>
              <c:x val="0.47622782745377168"/>
              <c:y val="0.85151507636348611"/>
            </c:manualLayout>
          </c:layout>
          <c:overlay val="0"/>
        </c:title>
        <c:numFmt formatCode="0" sourceLinked="1"/>
        <c:majorTickMark val="none"/>
        <c:minorTickMark val="none"/>
        <c:tickLblPos val="nextTo"/>
        <c:txPr>
          <a:bodyPr rot="0" vert="horz"/>
          <a:lstStyle/>
          <a:p>
            <a:pPr>
              <a:defRPr/>
            </a:pPr>
            <a:endParaRPr lang="en-US"/>
          </a:p>
        </c:txPr>
        <c:crossAx val="119888512"/>
        <c:crosses val="autoZero"/>
        <c:auto val="1"/>
        <c:lblAlgn val="ctr"/>
        <c:lblOffset val="100"/>
        <c:noMultiLvlLbl val="0"/>
      </c:catAx>
      <c:valAx>
        <c:axId val="119888512"/>
        <c:scaling>
          <c:orientation val="minMax"/>
          <c:min val="-30"/>
        </c:scaling>
        <c:delete val="0"/>
        <c:axPos val="l"/>
        <c:title>
          <c:tx>
            <c:rich>
              <a:bodyPr rot="0" vert="horz"/>
              <a:lstStyle/>
              <a:p>
                <a:pPr>
                  <a:defRPr/>
                </a:pPr>
                <a:r>
                  <a:rPr lang="en-AU"/>
                  <a:t>$m's</a:t>
                </a:r>
              </a:p>
            </c:rich>
          </c:tx>
          <c:layout>
            <c:manualLayout>
              <c:xMode val="edge"/>
              <c:yMode val="edge"/>
              <c:x val="3.9331270316278876E-3"/>
              <c:y val="4.2588314653207282E-2"/>
            </c:manualLayout>
          </c:layout>
          <c:overlay val="0"/>
        </c:title>
        <c:numFmt formatCode="#,##0_ ;[Red]\-#,##0\ " sourceLinked="0"/>
        <c:majorTickMark val="none"/>
        <c:minorTickMark val="none"/>
        <c:tickLblPos val="nextTo"/>
        <c:crossAx val="119886592"/>
        <c:crosses val="autoZero"/>
        <c:crossBetween val="between"/>
      </c:valAx>
      <c:valAx>
        <c:axId val="1443286000"/>
        <c:scaling>
          <c:orientation val="minMax"/>
          <c:min val="-2.5"/>
        </c:scaling>
        <c:delete val="0"/>
        <c:axPos val="r"/>
        <c:numFmt formatCode="#,##0.0_ ;[Red]\-#,##0.0\ " sourceLinked="0"/>
        <c:majorTickMark val="out"/>
        <c:minorTickMark val="none"/>
        <c:tickLblPos val="nextTo"/>
        <c:crossAx val="1443275440"/>
        <c:crosses val="max"/>
        <c:crossBetween val="between"/>
      </c:valAx>
      <c:catAx>
        <c:axId val="1443275440"/>
        <c:scaling>
          <c:orientation val="minMax"/>
        </c:scaling>
        <c:delete val="1"/>
        <c:axPos val="b"/>
        <c:majorTickMark val="out"/>
        <c:minorTickMark val="none"/>
        <c:tickLblPos val="nextTo"/>
        <c:crossAx val="1443286000"/>
        <c:crosses val="autoZero"/>
        <c:auto val="1"/>
        <c:lblAlgn val="ctr"/>
        <c:lblOffset val="100"/>
        <c:noMultiLvlLbl val="0"/>
      </c:catAx>
    </c:plotArea>
    <c:legend>
      <c:legendPos val="b"/>
      <c:layout>
        <c:manualLayout>
          <c:xMode val="edge"/>
          <c:yMode val="edge"/>
          <c:x val="0.17097794979017453"/>
          <c:y val="0.92125136916940498"/>
          <c:w val="0.67039184223819337"/>
          <c:h val="4.0191095239800606E-2"/>
        </c:manualLayout>
      </c:layout>
      <c:overlay val="0"/>
    </c:legend>
    <c:plotVisOnly val="1"/>
    <c:dispBlanksAs val="zero"/>
    <c:showDLblsOverMax val="0"/>
  </c:chart>
  <c:spPr>
    <a:ln>
      <a:solidFill>
        <a:schemeClr val="bg1">
          <a:lumMod val="75000"/>
        </a:schemeClr>
      </a:solidFill>
    </a:ln>
  </c:spPr>
  <c:txPr>
    <a:bodyPr/>
    <a:lstStyle/>
    <a:p>
      <a:pPr>
        <a:defRPr sz="800">
          <a:latin typeface="Arial" pitchFamily="34" charset="0"/>
          <a:cs typeface="Arial" pitchFamily="34" charset="0"/>
        </a:defRPr>
      </a:pPr>
      <a:endParaRPr lang="en-US"/>
    </a:p>
  </c:txPr>
  <c:printSettings>
    <c:headerFooter/>
    <c:pageMargins b="0.75000000000000022" l="0.70000000000000018" r="0.70000000000000018" t="0.75000000000000022" header="0.3000000000000001" footer="0.3000000000000001"/>
    <c:pageSetup paperSize="8"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495299</xdr:colOff>
      <xdr:row>152</xdr:row>
      <xdr:rowOff>95250</xdr:rowOff>
    </xdr:from>
    <xdr:to>
      <xdr:col>29</xdr:col>
      <xdr:colOff>76199</xdr:colOff>
      <xdr:row>186</xdr:row>
      <xdr:rowOff>76200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tint="0.79998168889431442"/>
  </sheetPr>
  <dimension ref="B1:H22"/>
  <sheetViews>
    <sheetView topLeftCell="A4" zoomScale="115" zoomScaleNormal="115" workbookViewId="0">
      <selection activeCell="C6" sqref="C6"/>
    </sheetView>
  </sheetViews>
  <sheetFormatPr defaultColWidth="9.1328125" defaultRowHeight="13.5" x14ac:dyDescent="0.35"/>
  <cols>
    <col min="1" max="3" width="3.265625" style="21" customWidth="1"/>
    <col min="4" max="4" width="9.1328125" style="21"/>
    <col min="5" max="5" width="9.59765625" style="21" bestFit="1" customWidth="1"/>
    <col min="6" max="16384" width="9.1328125" style="21"/>
  </cols>
  <sheetData>
    <row r="1" spans="2:8" s="22" customFormat="1" x14ac:dyDescent="0.35"/>
    <row r="2" spans="2:8" s="22" customFormat="1" ht="13.9" x14ac:dyDescent="0.4">
      <c r="B2" s="20" t="s">
        <v>13</v>
      </c>
    </row>
    <row r="3" spans="2:8" s="22" customFormat="1" x14ac:dyDescent="0.35"/>
    <row r="6" spans="2:8" ht="17.649999999999999" x14ac:dyDescent="0.5">
      <c r="C6" s="1" t="s">
        <v>127</v>
      </c>
      <c r="D6" s="3"/>
      <c r="E6" s="2"/>
      <c r="F6" s="3"/>
      <c r="G6" s="3"/>
      <c r="H6" s="3"/>
    </row>
    <row r="7" spans="2:8" x14ac:dyDescent="0.35">
      <c r="C7" s="3" t="s">
        <v>14</v>
      </c>
      <c r="D7" s="3"/>
      <c r="E7" s="12">
        <v>45365</v>
      </c>
      <c r="F7" s="3"/>
      <c r="G7" s="3"/>
      <c r="H7" s="3"/>
    </row>
    <row r="8" spans="2:8" x14ac:dyDescent="0.35">
      <c r="C8" s="3"/>
      <c r="D8" s="3"/>
      <c r="E8" s="4"/>
      <c r="F8" s="3"/>
      <c r="G8" s="3"/>
      <c r="H8" s="3"/>
    </row>
    <row r="9" spans="2:8" x14ac:dyDescent="0.35">
      <c r="C9" s="3"/>
      <c r="D9" s="3"/>
      <c r="E9" s="3"/>
      <c r="F9" s="3"/>
      <c r="G9" s="3"/>
      <c r="H9" s="3"/>
    </row>
    <row r="10" spans="2:8" ht="13.9" x14ac:dyDescent="0.4">
      <c r="C10" s="3"/>
      <c r="D10" s="5" t="s">
        <v>15</v>
      </c>
      <c r="E10" s="6"/>
      <c r="F10" s="7"/>
      <c r="G10" s="3"/>
      <c r="H10" s="3"/>
    </row>
    <row r="11" spans="2:8" x14ac:dyDescent="0.35">
      <c r="C11" s="3"/>
      <c r="D11" s="13" t="s">
        <v>16</v>
      </c>
      <c r="E11" s="3"/>
      <c r="F11" s="3"/>
      <c r="G11" s="3"/>
      <c r="H11" s="3"/>
    </row>
    <row r="12" spans="2:8" x14ac:dyDescent="0.35">
      <c r="C12" s="3"/>
      <c r="D12" s="62" t="s">
        <v>17</v>
      </c>
      <c r="E12" s="8"/>
      <c r="F12" s="3"/>
      <c r="G12" s="3"/>
      <c r="H12" s="3"/>
    </row>
    <row r="13" spans="2:8" x14ac:dyDescent="0.35">
      <c r="C13" s="3"/>
      <c r="D13" s="142" t="s">
        <v>18</v>
      </c>
      <c r="E13" s="3"/>
      <c r="F13" s="3"/>
      <c r="G13" s="3"/>
      <c r="H13" s="3"/>
    </row>
    <row r="14" spans="2:8" x14ac:dyDescent="0.35">
      <c r="C14" s="3"/>
      <c r="D14" s="14" t="s">
        <v>19</v>
      </c>
      <c r="E14" s="9"/>
      <c r="F14" s="3"/>
      <c r="G14" s="3"/>
      <c r="H14" s="3"/>
    </row>
    <row r="15" spans="2:8" x14ac:dyDescent="0.35">
      <c r="C15" s="3"/>
      <c r="D15" s="15" t="s">
        <v>20</v>
      </c>
      <c r="E15" s="3"/>
      <c r="F15" s="3"/>
      <c r="G15" s="3"/>
      <c r="H15" s="3"/>
    </row>
    <row r="16" spans="2:8" x14ac:dyDescent="0.35">
      <c r="C16" s="3"/>
      <c r="D16" s="10"/>
      <c r="E16" s="3"/>
      <c r="F16" s="3"/>
      <c r="G16" s="3"/>
      <c r="H16" s="3"/>
    </row>
    <row r="17" spans="3:8" x14ac:dyDescent="0.35">
      <c r="C17" s="11"/>
      <c r="D17" s="11"/>
      <c r="E17" s="11"/>
      <c r="F17" s="11"/>
      <c r="G17" s="11"/>
      <c r="H17" s="11"/>
    </row>
    <row r="18" spans="3:8" ht="13.9" x14ac:dyDescent="0.4">
      <c r="C18" s="3"/>
      <c r="D18" s="5" t="s">
        <v>21</v>
      </c>
      <c r="E18" s="6"/>
      <c r="F18" s="7"/>
      <c r="G18" s="3"/>
      <c r="H18" s="3"/>
    </row>
    <row r="19" spans="3:8" x14ac:dyDescent="0.35">
      <c r="C19" s="3"/>
      <c r="D19" s="16" t="s">
        <v>0</v>
      </c>
      <c r="E19" s="3"/>
      <c r="F19" s="3"/>
      <c r="G19" s="3"/>
      <c r="H19" s="3"/>
    </row>
    <row r="20" spans="3:8" x14ac:dyDescent="0.35">
      <c r="C20" s="3"/>
      <c r="D20" s="17" t="s">
        <v>23</v>
      </c>
      <c r="E20" s="3"/>
      <c r="F20" s="3"/>
      <c r="G20" s="3"/>
      <c r="H20" s="3"/>
    </row>
    <row r="21" spans="3:8" x14ac:dyDescent="0.35">
      <c r="C21" s="3"/>
      <c r="D21" s="17" t="s">
        <v>22</v>
      </c>
      <c r="E21" s="3"/>
      <c r="F21" s="3"/>
      <c r="G21" s="3"/>
      <c r="H21" s="3"/>
    </row>
    <row r="22" spans="3:8" x14ac:dyDescent="0.35">
      <c r="C22" s="11"/>
      <c r="D22" s="17" t="s">
        <v>105</v>
      </c>
      <c r="E22" s="3"/>
      <c r="F22" s="3"/>
      <c r="G22" s="3"/>
      <c r="H22" s="3"/>
    </row>
  </sheetData>
  <hyperlinks>
    <hyperlink ref="D19" location="Assumptions!A1" display="Assumptions" xr:uid="{00000000-0004-0000-0000-000000000000}"/>
    <hyperlink ref="D21" location="Hypothetical!A1" display="Hypothetical" xr:uid="{00000000-0004-0000-0000-000001000000}"/>
    <hyperlink ref="D20" location="'Historical Reconstruction'!A1" display="Historical Reconstruction" xr:uid="{00000000-0004-0000-0000-000002000000}"/>
    <hyperlink ref="D22" location="Sensitivities!A1" display="Sensitivities" xr:uid="{00000000-0004-0000-0000-000003000000}"/>
  </hyperlinks>
  <pageMargins left="0.7" right="0.7" top="0.75" bottom="0.75" header="0.3" footer="0.3"/>
  <pageSetup paperSize="8"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2261B-D335-4E85-B04F-9B31B4046004}">
  <sheetPr>
    <tabColor theme="4" tint="0.79998168889431442"/>
  </sheetPr>
  <dimension ref="B1:H26"/>
  <sheetViews>
    <sheetView tabSelected="1" zoomScale="115" zoomScaleNormal="115" workbookViewId="0">
      <selection activeCell="E29" sqref="E29"/>
    </sheetView>
  </sheetViews>
  <sheetFormatPr defaultColWidth="9.1328125" defaultRowHeight="13.5" x14ac:dyDescent="0.35"/>
  <cols>
    <col min="1" max="3" width="3.265625" style="21" customWidth="1"/>
    <col min="4" max="4" width="9.1328125" style="21"/>
    <col min="5" max="5" width="9.59765625" style="21" bestFit="1" customWidth="1"/>
    <col min="6" max="16384" width="9.1328125" style="21"/>
  </cols>
  <sheetData>
    <row r="1" spans="2:8" s="22" customFormat="1" x14ac:dyDescent="0.35"/>
    <row r="2" spans="2:8" s="22" customFormat="1" ht="13.9" x14ac:dyDescent="0.4">
      <c r="B2" s="20" t="s">
        <v>13</v>
      </c>
    </row>
    <row r="3" spans="2:8" s="22" customFormat="1" x14ac:dyDescent="0.35"/>
    <row r="6" spans="2:8" ht="17.649999999999999" x14ac:dyDescent="0.5">
      <c r="C6" s="1" t="s">
        <v>127</v>
      </c>
      <c r="D6" s="3"/>
      <c r="E6" s="2"/>
      <c r="F6" s="3"/>
      <c r="G6" s="3"/>
      <c r="H6" s="3"/>
    </row>
    <row r="7" spans="2:8" x14ac:dyDescent="0.35">
      <c r="C7" s="3" t="s">
        <v>14</v>
      </c>
      <c r="D7" s="3"/>
      <c r="E7" s="12">
        <v>45365</v>
      </c>
      <c r="F7" s="3"/>
      <c r="G7" s="3"/>
      <c r="H7" s="3"/>
    </row>
    <row r="8" spans="2:8" x14ac:dyDescent="0.35">
      <c r="C8" s="3"/>
      <c r="D8" s="3"/>
      <c r="E8" s="4"/>
      <c r="F8" s="3"/>
      <c r="G8" s="3"/>
      <c r="H8" s="3"/>
    </row>
    <row r="9" spans="2:8" x14ac:dyDescent="0.35">
      <c r="C9" s="3"/>
      <c r="D9" s="3"/>
      <c r="E9" s="3"/>
      <c r="F9" s="3"/>
      <c r="G9" s="3"/>
      <c r="H9" s="3"/>
    </row>
    <row r="10" spans="2:8" ht="13.9" x14ac:dyDescent="0.4">
      <c r="C10" s="3"/>
      <c r="D10" s="5" t="s">
        <v>210</v>
      </c>
      <c r="E10" s="6"/>
      <c r="F10" s="7"/>
      <c r="G10" s="3"/>
      <c r="H10" s="3"/>
    </row>
    <row r="11" spans="2:8" x14ac:dyDescent="0.35">
      <c r="C11" s="3"/>
      <c r="D11" s="3"/>
      <c r="E11" s="3"/>
      <c r="F11" s="3"/>
      <c r="G11" s="3"/>
      <c r="H11" s="3"/>
    </row>
    <row r="12" spans="2:8" x14ac:dyDescent="0.35">
      <c r="C12" s="3"/>
      <c r="D12" s="336" t="s">
        <v>211</v>
      </c>
      <c r="E12" s="3"/>
      <c r="F12" s="3"/>
      <c r="G12" s="3"/>
      <c r="H12" s="3"/>
    </row>
    <row r="13" spans="2:8" x14ac:dyDescent="0.35">
      <c r="C13" s="3"/>
      <c r="D13" s="336" t="s">
        <v>221</v>
      </c>
      <c r="E13" s="3"/>
      <c r="F13" s="3"/>
      <c r="G13" s="3"/>
      <c r="H13" s="3"/>
    </row>
    <row r="14" spans="2:8" x14ac:dyDescent="0.35">
      <c r="C14" s="3"/>
      <c r="D14" s="336" t="s">
        <v>222</v>
      </c>
      <c r="E14" s="3"/>
      <c r="F14" s="3"/>
      <c r="G14" s="3"/>
      <c r="H14" s="3"/>
    </row>
    <row r="15" spans="2:8" x14ac:dyDescent="0.35">
      <c r="C15" s="11"/>
      <c r="D15" s="336" t="s">
        <v>223</v>
      </c>
      <c r="E15" s="3"/>
      <c r="F15" s="3"/>
      <c r="G15" s="3"/>
      <c r="H15" s="3"/>
    </row>
    <row r="16" spans="2:8" x14ac:dyDescent="0.35">
      <c r="C16" s="3"/>
      <c r="E16" s="3"/>
      <c r="F16" s="3"/>
      <c r="G16" s="3"/>
      <c r="H16" s="3"/>
    </row>
    <row r="17" spans="3:8" x14ac:dyDescent="0.35">
      <c r="C17" s="3"/>
      <c r="D17" s="336" t="s">
        <v>217</v>
      </c>
      <c r="E17" s="3"/>
      <c r="F17" s="3"/>
      <c r="G17" s="3"/>
      <c r="H17" s="3"/>
    </row>
    <row r="18" spans="3:8" x14ac:dyDescent="0.35">
      <c r="C18" s="3"/>
      <c r="D18" s="336" t="s">
        <v>218</v>
      </c>
      <c r="E18" s="3"/>
      <c r="F18" s="3"/>
      <c r="G18" s="3"/>
      <c r="H18" s="3"/>
    </row>
    <row r="19" spans="3:8" x14ac:dyDescent="0.35">
      <c r="C19" s="3"/>
      <c r="D19" s="3"/>
      <c r="E19" s="3"/>
      <c r="F19" s="3"/>
      <c r="G19" s="3"/>
      <c r="H19" s="3"/>
    </row>
    <row r="20" spans="3:8" x14ac:dyDescent="0.35">
      <c r="C20" s="11"/>
      <c r="E20" s="3"/>
      <c r="F20" s="3"/>
      <c r="G20" s="3"/>
      <c r="H20" s="3"/>
    </row>
    <row r="21" spans="3:8" x14ac:dyDescent="0.35">
      <c r="D21" s="342" t="s">
        <v>229</v>
      </c>
      <c r="E21" s="3"/>
      <c r="F21" s="3"/>
      <c r="G21" s="3"/>
      <c r="H21" s="3"/>
    </row>
    <row r="23" spans="3:8" x14ac:dyDescent="0.35">
      <c r="D23" s="343" t="s">
        <v>224</v>
      </c>
    </row>
    <row r="24" spans="3:8" x14ac:dyDescent="0.35">
      <c r="D24" s="343" t="s">
        <v>226</v>
      </c>
    </row>
    <row r="25" spans="3:8" x14ac:dyDescent="0.35">
      <c r="D25" s="343" t="s">
        <v>225</v>
      </c>
    </row>
    <row r="26" spans="3:8" x14ac:dyDescent="0.35">
      <c r="D26" s="343" t="s">
        <v>227</v>
      </c>
    </row>
  </sheetData>
  <pageMargins left="0.7" right="0.7" top="0.75" bottom="0.75" header="0.3" footer="0.3"/>
  <pageSetup paperSize="8"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4" tint="0.79998168889431442"/>
    <pageSetUpPr fitToPage="1"/>
  </sheetPr>
  <dimension ref="A1:T183"/>
  <sheetViews>
    <sheetView topLeftCell="A17" zoomScale="115" zoomScaleNormal="115" workbookViewId="0">
      <selection activeCell="D33" sqref="D33"/>
    </sheetView>
  </sheetViews>
  <sheetFormatPr defaultColWidth="9.1328125" defaultRowHeight="10.15" outlineLevelRow="1" x14ac:dyDescent="0.3"/>
  <cols>
    <col min="1" max="3" width="2.59765625" style="30" customWidth="1"/>
    <col min="4" max="4" width="49.73046875" style="30" customWidth="1"/>
    <col min="5" max="16384" width="9.1328125" style="30"/>
  </cols>
  <sheetData>
    <row r="1" spans="1:20" s="34" customFormat="1" x14ac:dyDescent="0.3"/>
    <row r="2" spans="1:20" s="34" customFormat="1" x14ac:dyDescent="0.3">
      <c r="B2" s="35" t="s">
        <v>0</v>
      </c>
    </row>
    <row r="3" spans="1:20" s="34" customFormat="1" x14ac:dyDescent="0.3"/>
    <row r="7" spans="1:20" s="24" customFormat="1" x14ac:dyDescent="0.45"/>
    <row r="8" spans="1:20" ht="10.5" thickBot="1" x14ac:dyDescent="0.35">
      <c r="A8" s="11" t="s">
        <v>24</v>
      </c>
      <c r="B8" s="18" t="s">
        <v>128</v>
      </c>
      <c r="C8" s="19"/>
      <c r="D8" s="19"/>
      <c r="E8" s="19"/>
      <c r="F8" s="19"/>
      <c r="G8" s="19"/>
      <c r="H8" s="19"/>
      <c r="I8" s="19"/>
      <c r="J8" s="19"/>
      <c r="K8" s="19"/>
      <c r="L8" s="19"/>
      <c r="M8" s="19"/>
      <c r="N8" s="19"/>
      <c r="O8" s="19"/>
      <c r="P8" s="19"/>
      <c r="Q8" s="19"/>
      <c r="R8" s="19"/>
      <c r="S8" s="19"/>
      <c r="T8" s="19"/>
    </row>
    <row r="9" spans="1:20" x14ac:dyDescent="0.3">
      <c r="A9" s="11"/>
      <c r="B9" s="33"/>
      <c r="C9" s="11"/>
      <c r="D9" s="11"/>
      <c r="E9" s="11"/>
      <c r="F9" s="11"/>
      <c r="G9" s="11"/>
      <c r="H9" s="11"/>
      <c r="I9" s="11"/>
      <c r="J9" s="11"/>
      <c r="K9" s="11"/>
      <c r="L9" s="11"/>
      <c r="M9" s="11"/>
      <c r="N9" s="11"/>
      <c r="O9" s="11"/>
      <c r="P9" s="11"/>
      <c r="Q9" s="11"/>
      <c r="R9" s="11"/>
      <c r="S9" s="11"/>
      <c r="T9" s="11"/>
    </row>
    <row r="10" spans="1:20" s="24" customFormat="1" x14ac:dyDescent="0.45">
      <c r="E10" s="25" t="s">
        <v>2</v>
      </c>
      <c r="F10" s="25" t="s">
        <v>3</v>
      </c>
      <c r="G10" s="25" t="s">
        <v>57</v>
      </c>
    </row>
    <row r="11" spans="1:20" s="24" customFormat="1" x14ac:dyDescent="0.45">
      <c r="C11" s="23" t="s">
        <v>130</v>
      </c>
      <c r="D11" s="23"/>
      <c r="E11" s="26">
        <v>50</v>
      </c>
      <c r="F11" s="26">
        <v>100</v>
      </c>
      <c r="G11" s="26">
        <v>150</v>
      </c>
    </row>
    <row r="12" spans="1:20" s="24" customFormat="1" x14ac:dyDescent="0.45">
      <c r="C12" s="23"/>
    </row>
    <row r="13" spans="1:20" s="24" customFormat="1" x14ac:dyDescent="0.45">
      <c r="E13" s="25" t="s">
        <v>132</v>
      </c>
      <c r="F13" s="25" t="s">
        <v>133</v>
      </c>
      <c r="G13" s="25" t="s">
        <v>134</v>
      </c>
      <c r="H13" s="25" t="s">
        <v>135</v>
      </c>
    </row>
    <row r="14" spans="1:20" s="24" customFormat="1" x14ac:dyDescent="0.45">
      <c r="C14" s="23" t="s">
        <v>131</v>
      </c>
      <c r="D14" s="23"/>
      <c r="E14" s="279">
        <v>0.25</v>
      </c>
      <c r="F14" s="279">
        <v>0.25</v>
      </c>
      <c r="G14" s="279">
        <v>0.25</v>
      </c>
      <c r="H14" s="279">
        <v>0.25</v>
      </c>
      <c r="I14" s="24" t="s">
        <v>143</v>
      </c>
    </row>
    <row r="15" spans="1:20" s="24" customFormat="1" x14ac:dyDescent="0.45"/>
    <row r="16" spans="1:20" s="24" customFormat="1" x14ac:dyDescent="0.45"/>
    <row r="17" spans="1:20" ht="10.5" thickBot="1" x14ac:dyDescent="0.35">
      <c r="A17" s="11" t="s">
        <v>24</v>
      </c>
      <c r="B17" s="18" t="s">
        <v>129</v>
      </c>
      <c r="C17" s="19"/>
      <c r="D17" s="19"/>
      <c r="E17" s="19"/>
      <c r="F17" s="19"/>
      <c r="G17" s="19"/>
      <c r="H17" s="19"/>
      <c r="I17" s="19"/>
      <c r="J17" s="19"/>
      <c r="K17" s="19"/>
      <c r="L17" s="19"/>
      <c r="M17" s="19"/>
      <c r="N17" s="19"/>
      <c r="O17" s="19"/>
      <c r="P17" s="19"/>
      <c r="Q17" s="19"/>
      <c r="R17" s="19"/>
      <c r="S17" s="19"/>
      <c r="T17" s="19"/>
    </row>
    <row r="18" spans="1:20" x14ac:dyDescent="0.3">
      <c r="A18" s="11"/>
      <c r="B18" s="33"/>
      <c r="C18" s="11"/>
      <c r="D18" s="11"/>
      <c r="E18" s="11"/>
      <c r="F18" s="11"/>
      <c r="G18" s="11"/>
      <c r="H18" s="11"/>
      <c r="I18" s="11"/>
      <c r="J18" s="11"/>
      <c r="K18" s="11"/>
      <c r="L18" s="11"/>
      <c r="M18" s="11"/>
      <c r="N18" s="11"/>
      <c r="O18" s="11"/>
      <c r="P18" s="11"/>
      <c r="Q18" s="11"/>
      <c r="R18" s="11"/>
      <c r="S18" s="11"/>
      <c r="T18" s="11"/>
    </row>
    <row r="19" spans="1:20" x14ac:dyDescent="0.3">
      <c r="A19" s="11"/>
      <c r="B19" s="33"/>
      <c r="C19" s="11" t="s">
        <v>208</v>
      </c>
      <c r="D19" s="11"/>
      <c r="E19" s="27">
        <v>4.3499999999999997E-2</v>
      </c>
      <c r="F19" s="11"/>
      <c r="G19" s="11"/>
      <c r="H19" s="11"/>
      <c r="I19" s="11"/>
      <c r="J19" s="11"/>
      <c r="K19" s="11"/>
      <c r="L19" s="11"/>
      <c r="M19" s="11"/>
      <c r="N19" s="11"/>
      <c r="O19" s="11"/>
      <c r="P19" s="11"/>
      <c r="Q19" s="11"/>
      <c r="R19" s="11"/>
      <c r="S19" s="11"/>
      <c r="T19" s="11"/>
    </row>
    <row r="20" spans="1:20" x14ac:dyDescent="0.3">
      <c r="A20" s="11"/>
      <c r="B20" s="33"/>
      <c r="C20" s="11"/>
      <c r="D20" s="11"/>
      <c r="E20" s="11"/>
      <c r="F20" s="11"/>
      <c r="G20" s="11"/>
      <c r="H20" s="11"/>
      <c r="I20" s="11"/>
      <c r="J20" s="11"/>
      <c r="K20" s="11"/>
      <c r="L20" s="11"/>
      <c r="M20" s="11"/>
      <c r="N20" s="11"/>
      <c r="O20" s="11"/>
      <c r="P20" s="11"/>
      <c r="Q20" s="11"/>
      <c r="R20" s="11"/>
      <c r="S20" s="11"/>
      <c r="T20" s="11"/>
    </row>
    <row r="21" spans="1:20" x14ac:dyDescent="0.3">
      <c r="A21" s="11"/>
      <c r="B21" s="33"/>
      <c r="C21" s="11" t="s">
        <v>209</v>
      </c>
      <c r="D21" s="11"/>
      <c r="E21" s="27">
        <v>6.6500000000000004E-2</v>
      </c>
      <c r="F21" s="11"/>
      <c r="G21" s="11"/>
      <c r="H21" s="11"/>
      <c r="I21" s="11"/>
      <c r="J21" s="11"/>
      <c r="K21" s="11"/>
      <c r="L21" s="11"/>
      <c r="M21" s="11"/>
      <c r="N21" s="11"/>
      <c r="O21" s="11"/>
      <c r="P21" s="11"/>
      <c r="Q21" s="11"/>
      <c r="R21" s="11"/>
      <c r="S21" s="11"/>
      <c r="T21" s="11"/>
    </row>
    <row r="22" spans="1:20" x14ac:dyDescent="0.3">
      <c r="A22" s="11"/>
      <c r="B22" s="33"/>
      <c r="C22" s="11"/>
      <c r="D22" s="11"/>
      <c r="E22" s="11"/>
      <c r="F22" s="11"/>
      <c r="G22" s="11"/>
      <c r="H22" s="11"/>
      <c r="I22" s="11"/>
      <c r="J22" s="11"/>
      <c r="K22" s="11"/>
      <c r="L22" s="11"/>
      <c r="M22" s="11"/>
      <c r="N22" s="11"/>
      <c r="O22" s="11"/>
      <c r="P22" s="11"/>
      <c r="Q22" s="11"/>
      <c r="R22" s="11"/>
      <c r="S22" s="11"/>
      <c r="T22" s="11"/>
    </row>
    <row r="23" spans="1:20" s="24" customFormat="1" x14ac:dyDescent="0.45">
      <c r="C23" s="23" t="s">
        <v>207</v>
      </c>
      <c r="D23" s="23"/>
      <c r="E23" s="334">
        <f>SUM(E19,E21)</f>
        <v>0.11</v>
      </c>
      <c r="F23" s="24" t="s">
        <v>212</v>
      </c>
    </row>
    <row r="24" spans="1:20" s="24" customFormat="1" x14ac:dyDescent="0.45"/>
    <row r="25" spans="1:20" s="24" customFormat="1" x14ac:dyDescent="0.45">
      <c r="C25" s="24" t="s">
        <v>142</v>
      </c>
      <c r="E25" s="29">
        <v>4</v>
      </c>
      <c r="F25" s="24" t="s">
        <v>206</v>
      </c>
    </row>
    <row r="26" spans="1:20" s="24" customFormat="1" x14ac:dyDescent="0.45"/>
    <row r="27" spans="1:20" s="24" customFormat="1" x14ac:dyDescent="0.45">
      <c r="C27" s="23" t="s">
        <v>204</v>
      </c>
      <c r="D27" s="23"/>
      <c r="E27" s="28">
        <v>0.01</v>
      </c>
    </row>
    <row r="28" spans="1:20" s="24" customFormat="1" x14ac:dyDescent="0.45">
      <c r="C28" s="23"/>
      <c r="D28" s="23"/>
    </row>
    <row r="29" spans="1:20" s="24" customFormat="1" x14ac:dyDescent="0.45">
      <c r="C29" s="23" t="s">
        <v>172</v>
      </c>
      <c r="D29" s="23"/>
      <c r="E29" s="28">
        <v>5.0000000000000001E-3</v>
      </c>
      <c r="F29" s="24" t="s">
        <v>173</v>
      </c>
    </row>
    <row r="30" spans="1:20" s="24" customFormat="1" x14ac:dyDescent="0.45">
      <c r="C30" s="23"/>
      <c r="D30" s="23"/>
    </row>
    <row r="31" spans="1:20" s="24" customFormat="1" x14ac:dyDescent="0.45">
      <c r="C31" s="23" t="s">
        <v>198</v>
      </c>
      <c r="D31" s="23"/>
      <c r="E31" s="29">
        <v>3</v>
      </c>
      <c r="F31" s="327" t="s">
        <v>199</v>
      </c>
    </row>
    <row r="32" spans="1:20" s="24" customFormat="1" x14ac:dyDescent="0.45">
      <c r="C32" s="23"/>
      <c r="D32" s="23"/>
    </row>
    <row r="33" spans="1:20" s="24" customFormat="1" x14ac:dyDescent="0.45">
      <c r="C33" s="23" t="s">
        <v>215</v>
      </c>
      <c r="D33" s="23"/>
      <c r="E33" s="340">
        <f>E23/E37</f>
        <v>0.13749999999999998</v>
      </c>
      <c r="F33" s="24" t="s">
        <v>214</v>
      </c>
    </row>
    <row r="34" spans="1:20" s="24" customFormat="1" x14ac:dyDescent="0.45">
      <c r="C34" s="23"/>
      <c r="D34" s="23"/>
    </row>
    <row r="35" spans="1:20" ht="10.5" thickBot="1" x14ac:dyDescent="0.35">
      <c r="A35" s="11" t="s">
        <v>24</v>
      </c>
      <c r="B35" s="18" t="s">
        <v>136</v>
      </c>
      <c r="C35" s="19"/>
      <c r="D35" s="19"/>
      <c r="E35" s="19"/>
      <c r="F35" s="19"/>
      <c r="G35" s="19"/>
      <c r="H35" s="19"/>
      <c r="I35" s="19"/>
      <c r="J35" s="19"/>
      <c r="K35" s="19"/>
      <c r="L35" s="19"/>
      <c r="M35" s="19"/>
      <c r="N35" s="19"/>
      <c r="O35" s="19"/>
      <c r="P35" s="19"/>
      <c r="Q35" s="19"/>
      <c r="R35" s="19"/>
      <c r="S35" s="19"/>
      <c r="T35" s="19"/>
    </row>
    <row r="36" spans="1:20" x14ac:dyDescent="0.3">
      <c r="A36" s="11"/>
      <c r="B36" s="33"/>
      <c r="C36" s="11"/>
      <c r="D36" s="11"/>
      <c r="E36" s="11"/>
      <c r="F36" s="11"/>
      <c r="G36" s="11"/>
      <c r="H36" s="11"/>
      <c r="I36" s="11"/>
      <c r="J36" s="11"/>
      <c r="K36" s="11"/>
      <c r="L36" s="11"/>
      <c r="M36" s="11"/>
      <c r="N36" s="11"/>
      <c r="O36" s="11"/>
      <c r="P36" s="11"/>
      <c r="Q36" s="11"/>
      <c r="R36" s="11"/>
      <c r="S36" s="11"/>
      <c r="T36" s="11"/>
    </row>
    <row r="37" spans="1:20" s="24" customFormat="1" x14ac:dyDescent="0.45">
      <c r="C37" s="23" t="s">
        <v>200</v>
      </c>
      <c r="D37" s="23"/>
      <c r="E37" s="278">
        <v>0.8</v>
      </c>
      <c r="F37" s="24" t="s">
        <v>219</v>
      </c>
    </row>
    <row r="38" spans="1:20" s="24" customFormat="1" x14ac:dyDescent="0.45"/>
    <row r="39" spans="1:20" s="24" customFormat="1" x14ac:dyDescent="0.45">
      <c r="C39" s="24" t="s">
        <v>137</v>
      </c>
      <c r="E39" s="333">
        <v>4.4999999999999998E-2</v>
      </c>
    </row>
    <row r="40" spans="1:20" s="24" customFormat="1" x14ac:dyDescent="0.45"/>
    <row r="41" spans="1:20" s="24" customFormat="1" x14ac:dyDescent="0.45">
      <c r="C41" s="23" t="s">
        <v>213</v>
      </c>
      <c r="D41" s="23"/>
      <c r="E41" s="38">
        <v>0.15</v>
      </c>
      <c r="F41" s="24" t="s">
        <v>138</v>
      </c>
    </row>
    <row r="42" spans="1:20" s="24" customFormat="1" x14ac:dyDescent="0.45">
      <c r="C42" s="23"/>
      <c r="D42" s="23"/>
    </row>
    <row r="43" spans="1:20" s="24" customFormat="1" x14ac:dyDescent="0.45">
      <c r="C43" s="23" t="s">
        <v>139</v>
      </c>
      <c r="D43" s="23"/>
      <c r="E43" s="29">
        <v>12</v>
      </c>
    </row>
    <row r="44" spans="1:20" s="24" customFormat="1" x14ac:dyDescent="0.45">
      <c r="C44" s="23"/>
      <c r="D44" s="23"/>
    </row>
    <row r="45" spans="1:20" s="24" customFormat="1" x14ac:dyDescent="0.45">
      <c r="C45" s="23" t="s">
        <v>140</v>
      </c>
      <c r="D45" s="23"/>
      <c r="E45" s="38">
        <v>2.5000000000000001E-2</v>
      </c>
      <c r="F45" s="24" t="s">
        <v>228</v>
      </c>
    </row>
    <row r="46" spans="1:20" s="24" customFormat="1" x14ac:dyDescent="0.45">
      <c r="C46" s="23"/>
      <c r="D46" s="23"/>
    </row>
    <row r="47" spans="1:20" s="24" customFormat="1" x14ac:dyDescent="0.45">
      <c r="C47" s="24" t="s">
        <v>216</v>
      </c>
      <c r="E47" s="29">
        <v>4</v>
      </c>
      <c r="F47" s="24" t="s">
        <v>206</v>
      </c>
    </row>
    <row r="48" spans="1:20" s="24" customFormat="1" x14ac:dyDescent="0.45"/>
    <row r="49" spans="1:20" s="24" customFormat="1" x14ac:dyDescent="0.45">
      <c r="C49" s="23" t="s">
        <v>141</v>
      </c>
      <c r="D49" s="23"/>
      <c r="E49" s="287">
        <v>0.65</v>
      </c>
      <c r="F49" s="327" t="s">
        <v>201</v>
      </c>
    </row>
    <row r="50" spans="1:20" s="24" customFormat="1" x14ac:dyDescent="0.45">
      <c r="C50" s="23"/>
      <c r="D50" s="23"/>
    </row>
    <row r="51" spans="1:20" s="24" customFormat="1" x14ac:dyDescent="0.45">
      <c r="C51" s="23"/>
      <c r="D51" s="23"/>
    </row>
    <row r="52" spans="1:20" s="24" customFormat="1" x14ac:dyDescent="0.45"/>
    <row r="53" spans="1:20" s="295" customFormat="1" ht="10.5" thickBot="1" x14ac:dyDescent="0.35">
      <c r="A53" s="337" t="s">
        <v>24</v>
      </c>
      <c r="B53" s="338" t="s">
        <v>205</v>
      </c>
      <c r="C53" s="339"/>
      <c r="D53" s="339"/>
      <c r="E53" s="339"/>
      <c r="F53" s="339"/>
      <c r="G53" s="339"/>
      <c r="H53" s="339"/>
      <c r="I53" s="339"/>
      <c r="J53" s="339"/>
      <c r="K53" s="339"/>
      <c r="L53" s="339"/>
      <c r="M53" s="339"/>
      <c r="N53" s="339"/>
      <c r="O53" s="339"/>
      <c r="P53" s="339"/>
      <c r="Q53" s="339"/>
      <c r="R53" s="339"/>
      <c r="S53" s="339"/>
      <c r="T53" s="339"/>
    </row>
    <row r="54" spans="1:20" s="24" customFormat="1" x14ac:dyDescent="0.45">
      <c r="C54" s="32"/>
    </row>
    <row r="55" spans="1:20" s="24" customFormat="1" x14ac:dyDescent="0.45">
      <c r="C55" s="32"/>
    </row>
    <row r="56" spans="1:20" hidden="1" outlineLevel="1" x14ac:dyDescent="0.3">
      <c r="C56" s="31" t="s">
        <v>26</v>
      </c>
    </row>
    <row r="57" spans="1:20" s="24" customFormat="1" hidden="1" outlineLevel="1" x14ac:dyDescent="0.45">
      <c r="C57" s="32"/>
      <c r="D57" s="24" t="s">
        <v>39</v>
      </c>
      <c r="E57" s="29">
        <f>Sensitivities!S21</f>
        <v>36</v>
      </c>
    </row>
    <row r="58" spans="1:20" s="24" customFormat="1" hidden="1" outlineLevel="1" x14ac:dyDescent="0.45">
      <c r="C58" s="32"/>
      <c r="D58" s="24" t="s">
        <v>40</v>
      </c>
      <c r="E58" s="29">
        <v>6</v>
      </c>
      <c r="F58" s="24" t="s">
        <v>88</v>
      </c>
    </row>
    <row r="59" spans="1:20" s="24" customFormat="1" hidden="1" outlineLevel="1" x14ac:dyDescent="0.45">
      <c r="C59" s="32"/>
    </row>
    <row r="60" spans="1:20" s="24" customFormat="1" hidden="1" outlineLevel="1" x14ac:dyDescent="0.3">
      <c r="C60" s="31" t="s">
        <v>38</v>
      </c>
    </row>
    <row r="61" spans="1:20" s="24" customFormat="1" hidden="1" outlineLevel="1" x14ac:dyDescent="0.45">
      <c r="C61" s="32"/>
      <c r="D61" s="24" t="s">
        <v>62</v>
      </c>
      <c r="E61" s="231">
        <f>Sensitivities!S23</f>
        <v>1</v>
      </c>
    </row>
    <row r="62" spans="1:20" s="24" customFormat="1" hidden="1" outlineLevel="1" x14ac:dyDescent="0.45">
      <c r="C62" s="32"/>
      <c r="D62" s="24" t="s">
        <v>65</v>
      </c>
      <c r="E62" s="232">
        <f>Sensitivities!S24</f>
        <v>0</v>
      </c>
    </row>
    <row r="63" spans="1:20" s="24" customFormat="1" hidden="1" outlineLevel="1" x14ac:dyDescent="0.45">
      <c r="C63" s="32"/>
      <c r="D63" s="24" t="s">
        <v>31</v>
      </c>
      <c r="E63" s="233">
        <f>Sensitivities!S25</f>
        <v>3</v>
      </c>
    </row>
    <row r="64" spans="1:20" s="24" customFormat="1" hidden="1" outlineLevel="1" x14ac:dyDescent="0.45">
      <c r="C64" s="32"/>
    </row>
    <row r="65" spans="3:6" s="24" customFormat="1" hidden="1" outlineLevel="1" x14ac:dyDescent="0.45">
      <c r="C65" s="32" t="s">
        <v>68</v>
      </c>
      <c r="E65" s="230">
        <f>Sensitivities!S26</f>
        <v>50</v>
      </c>
    </row>
    <row r="66" spans="3:6" s="24" customFormat="1" hidden="1" outlineLevel="1" x14ac:dyDescent="0.45">
      <c r="C66" s="32"/>
      <c r="E66" s="229"/>
    </row>
    <row r="67" spans="3:6" s="24" customFormat="1" hidden="1" outlineLevel="1" x14ac:dyDescent="0.45">
      <c r="C67" s="32" t="s">
        <v>28</v>
      </c>
    </row>
    <row r="68" spans="3:6" s="24" customFormat="1" hidden="1" outlineLevel="1" x14ac:dyDescent="0.45">
      <c r="C68" s="32"/>
      <c r="D68" s="24" t="s">
        <v>45</v>
      </c>
      <c r="E68" s="231">
        <f>Sensitivities!S28</f>
        <v>0.5</v>
      </c>
    </row>
    <row r="69" spans="3:6" s="24" customFormat="1" hidden="1" outlineLevel="1" x14ac:dyDescent="0.45">
      <c r="C69" s="32"/>
      <c r="D69" s="24" t="s">
        <v>66</v>
      </c>
      <c r="E69" s="234">
        <f>Sensitivities!S29</f>
        <v>25</v>
      </c>
    </row>
    <row r="70" spans="3:6" s="24" customFormat="1" hidden="1" outlineLevel="1" x14ac:dyDescent="0.45">
      <c r="C70" s="32"/>
      <c r="D70" s="23" t="s">
        <v>67</v>
      </c>
      <c r="E70" s="234">
        <f>Sensitivities!S30</f>
        <v>25</v>
      </c>
    </row>
    <row r="71" spans="3:6" s="24" customFormat="1" hidden="1" outlineLevel="1" x14ac:dyDescent="0.45">
      <c r="C71" s="32"/>
    </row>
    <row r="72" spans="3:6" s="24" customFormat="1" hidden="1" outlineLevel="1" x14ac:dyDescent="0.45">
      <c r="C72" s="32" t="s">
        <v>80</v>
      </c>
    </row>
    <row r="73" spans="3:6" s="24" customFormat="1" hidden="1" outlineLevel="1" x14ac:dyDescent="0.45">
      <c r="C73" s="32"/>
      <c r="D73" s="24" t="s">
        <v>30</v>
      </c>
      <c r="E73" s="36">
        <v>0.3</v>
      </c>
      <c r="F73" s="24" t="s">
        <v>89</v>
      </c>
    </row>
    <row r="74" spans="3:6" s="24" customFormat="1" hidden="1" outlineLevel="1" x14ac:dyDescent="0.45">
      <c r="C74" s="32"/>
    </row>
    <row r="75" spans="3:6" s="24" customFormat="1" hidden="1" outlineLevel="1" x14ac:dyDescent="0.45">
      <c r="C75" s="32" t="s">
        <v>93</v>
      </c>
    </row>
    <row r="76" spans="3:6" s="24" customFormat="1" hidden="1" outlineLevel="1" x14ac:dyDescent="0.45">
      <c r="C76" s="32"/>
      <c r="D76" s="24" t="s">
        <v>70</v>
      </c>
      <c r="E76" s="235">
        <f>Sensitivities!S32</f>
        <v>0.35</v>
      </c>
    </row>
    <row r="77" spans="3:6" s="24" customFormat="1" hidden="1" outlineLevel="1" x14ac:dyDescent="0.45">
      <c r="C77" s="32"/>
      <c r="D77" s="24" t="s">
        <v>71</v>
      </c>
      <c r="E77" s="236">
        <f>Sensitivities!S33</f>
        <v>0.15</v>
      </c>
    </row>
    <row r="78" spans="3:6" s="24" customFormat="1" hidden="1" outlineLevel="1" x14ac:dyDescent="0.45">
      <c r="C78" s="32"/>
      <c r="D78" s="24" t="s">
        <v>90</v>
      </c>
      <c r="E78" s="237">
        <f>Sensitivities!S34</f>
        <v>0.5</v>
      </c>
    </row>
    <row r="79" spans="3:6" s="24" customFormat="1" hidden="1" outlineLevel="1" x14ac:dyDescent="0.45">
      <c r="C79" s="32"/>
      <c r="E79" s="229"/>
    </row>
    <row r="80" spans="3:6" s="24" customFormat="1" hidden="1" outlineLevel="1" x14ac:dyDescent="0.45">
      <c r="C80" s="32"/>
      <c r="D80" s="24" t="s">
        <v>91</v>
      </c>
      <c r="E80" s="238">
        <f>Sensitivities!S35</f>
        <v>0.20876</v>
      </c>
    </row>
    <row r="81" spans="3:6" s="24" customFormat="1" hidden="1" outlineLevel="1" x14ac:dyDescent="0.45">
      <c r="C81" s="32"/>
      <c r="D81" s="24" t="s">
        <v>72</v>
      </c>
      <c r="E81" s="239">
        <f>Sensitivities!S36</f>
        <v>3.5000000000000003E-2</v>
      </c>
      <c r="F81" s="24" t="s">
        <v>73</v>
      </c>
    </row>
    <row r="82" spans="3:6" s="24" customFormat="1" hidden="1" outlineLevel="1" x14ac:dyDescent="0.45">
      <c r="C82" s="32"/>
      <c r="E82" s="229"/>
    </row>
    <row r="83" spans="3:6" s="24" customFormat="1" hidden="1" outlineLevel="1" x14ac:dyDescent="0.45">
      <c r="C83" s="32"/>
      <c r="D83" s="24" t="s">
        <v>92</v>
      </c>
      <c r="E83" s="238">
        <f>Sensitivities!S37</f>
        <v>0.19803999999999999</v>
      </c>
    </row>
    <row r="84" spans="3:6" s="24" customFormat="1" hidden="1" outlineLevel="1" x14ac:dyDescent="0.45">
      <c r="C84" s="32"/>
    </row>
    <row r="85" spans="3:6" s="24" customFormat="1" hidden="1" outlineLevel="1" x14ac:dyDescent="0.45">
      <c r="C85" s="32" t="s">
        <v>94</v>
      </c>
    </row>
    <row r="86" spans="3:6" s="24" customFormat="1" hidden="1" outlineLevel="1" x14ac:dyDescent="0.45">
      <c r="C86" s="32"/>
      <c r="D86" s="24" t="s">
        <v>63</v>
      </c>
      <c r="E86" s="235">
        <f>Sensitivities!S39</f>
        <v>0.01</v>
      </c>
      <c r="F86" s="24" t="s">
        <v>64</v>
      </c>
    </row>
    <row r="87" spans="3:6" s="24" customFormat="1" hidden="1" outlineLevel="1" x14ac:dyDescent="0.45">
      <c r="C87" s="32"/>
    </row>
    <row r="88" spans="3:6" s="24" customFormat="1" hidden="1" outlineLevel="1" x14ac:dyDescent="0.45">
      <c r="C88" s="32" t="s">
        <v>29</v>
      </c>
    </row>
    <row r="89" spans="3:6" s="24" customFormat="1" hidden="1" outlineLevel="1" x14ac:dyDescent="0.45">
      <c r="C89" s="32"/>
      <c r="D89" s="24" t="s">
        <v>95</v>
      </c>
      <c r="E89" s="235">
        <f>Sensitivities!S41</f>
        <v>5.0000000000000001E-3</v>
      </c>
      <c r="F89" s="24" t="s">
        <v>74</v>
      </c>
    </row>
    <row r="90" spans="3:6" s="24" customFormat="1" hidden="1" outlineLevel="1" x14ac:dyDescent="0.45">
      <c r="C90" s="32"/>
      <c r="D90" s="24" t="s">
        <v>96</v>
      </c>
      <c r="E90" s="235">
        <f>Sensitivities!S42</f>
        <v>0</v>
      </c>
      <c r="F90" s="24" t="s">
        <v>75</v>
      </c>
    </row>
    <row r="91" spans="3:6" s="24" customFormat="1" hidden="1" outlineLevel="1" x14ac:dyDescent="0.45">
      <c r="C91" s="32"/>
      <c r="E91" s="229"/>
    </row>
    <row r="92" spans="3:6" s="24" customFormat="1" hidden="1" outlineLevel="1" x14ac:dyDescent="0.45">
      <c r="C92" s="32" t="s">
        <v>97</v>
      </c>
      <c r="E92" s="229"/>
    </row>
    <row r="93" spans="3:6" s="24" customFormat="1" hidden="1" outlineLevel="1" x14ac:dyDescent="0.45">
      <c r="C93" s="32"/>
      <c r="D93" s="24" t="s">
        <v>125</v>
      </c>
      <c r="E93" s="230">
        <f>Sensitivities!S44</f>
        <v>2</v>
      </c>
      <c r="F93" s="24" t="s">
        <v>104</v>
      </c>
    </row>
    <row r="94" spans="3:6" s="24" customFormat="1" collapsed="1" x14ac:dyDescent="0.45">
      <c r="C94" s="32"/>
    </row>
    <row r="95" spans="3:6" s="24" customFormat="1" x14ac:dyDescent="0.45"/>
    <row r="96" spans="3:6" s="24" customFormat="1" x14ac:dyDescent="0.45"/>
    <row r="97" spans="4:4" s="24" customFormat="1" x14ac:dyDescent="0.45"/>
    <row r="98" spans="4:4" s="24" customFormat="1" x14ac:dyDescent="0.45"/>
    <row r="99" spans="4:4" s="24" customFormat="1" x14ac:dyDescent="0.45"/>
    <row r="100" spans="4:4" x14ac:dyDescent="0.3">
      <c r="D100" s="24"/>
    </row>
    <row r="101" spans="4:4" x14ac:dyDescent="0.3">
      <c r="D101" s="24"/>
    </row>
    <row r="102" spans="4:4" s="24" customFormat="1" x14ac:dyDescent="0.45"/>
    <row r="103" spans="4:4" s="24" customFormat="1" x14ac:dyDescent="0.45"/>
    <row r="104" spans="4:4" s="24" customFormat="1" x14ac:dyDescent="0.45"/>
    <row r="105" spans="4:4" s="24" customFormat="1" x14ac:dyDescent="0.45"/>
    <row r="106" spans="4:4" s="24" customFormat="1" x14ac:dyDescent="0.45"/>
    <row r="107" spans="4:4" s="24" customFormat="1" x14ac:dyDescent="0.45"/>
    <row r="108" spans="4:4" s="24" customFormat="1" x14ac:dyDescent="0.45"/>
    <row r="109" spans="4:4" s="24" customFormat="1" x14ac:dyDescent="0.45"/>
    <row r="110" spans="4:4" s="24" customFormat="1" x14ac:dyDescent="0.45"/>
    <row r="111" spans="4:4" s="24" customFormat="1" x14ac:dyDescent="0.45"/>
    <row r="112" spans="4:4" s="24" customFormat="1" x14ac:dyDescent="0.45"/>
    <row r="113" s="24" customFormat="1" x14ac:dyDescent="0.45"/>
    <row r="114" s="24" customFormat="1" x14ac:dyDescent="0.45"/>
    <row r="115" s="24" customFormat="1" x14ac:dyDescent="0.45"/>
    <row r="116" s="24" customFormat="1" x14ac:dyDescent="0.45"/>
    <row r="117" s="24" customFormat="1" x14ac:dyDescent="0.45"/>
    <row r="118" s="24" customFormat="1" x14ac:dyDescent="0.45"/>
    <row r="119" s="24" customFormat="1" x14ac:dyDescent="0.45"/>
    <row r="120" s="24" customFormat="1" x14ac:dyDescent="0.45"/>
    <row r="121" s="24" customFormat="1" x14ac:dyDescent="0.45"/>
    <row r="122" s="24" customFormat="1" x14ac:dyDescent="0.45"/>
    <row r="123" s="24" customFormat="1" x14ac:dyDescent="0.45"/>
    <row r="124" s="24" customFormat="1" x14ac:dyDescent="0.45"/>
    <row r="125" s="24" customFormat="1" x14ac:dyDescent="0.45"/>
    <row r="126" s="24" customFormat="1" x14ac:dyDescent="0.45"/>
    <row r="127" s="24" customFormat="1" x14ac:dyDescent="0.45"/>
    <row r="128" s="24" customFormat="1" x14ac:dyDescent="0.45"/>
    <row r="129" s="24" customFormat="1" x14ac:dyDescent="0.45"/>
    <row r="130" s="24" customFormat="1" x14ac:dyDescent="0.45"/>
    <row r="131" s="24" customFormat="1" x14ac:dyDescent="0.45"/>
    <row r="132" s="24" customFormat="1" x14ac:dyDescent="0.45"/>
    <row r="133" s="24" customFormat="1" x14ac:dyDescent="0.45"/>
    <row r="134" s="24" customFormat="1" x14ac:dyDescent="0.45"/>
    <row r="135" s="24" customFormat="1" x14ac:dyDescent="0.45"/>
    <row r="136" s="24" customFormat="1" x14ac:dyDescent="0.45"/>
    <row r="137" s="24" customFormat="1" x14ac:dyDescent="0.45"/>
    <row r="138" s="24" customFormat="1" x14ac:dyDescent="0.45"/>
    <row r="139" s="24" customFormat="1" x14ac:dyDescent="0.45"/>
    <row r="140" s="24" customFormat="1" x14ac:dyDescent="0.45"/>
    <row r="141" s="24" customFormat="1" x14ac:dyDescent="0.45"/>
    <row r="142" s="24" customFormat="1" x14ac:dyDescent="0.45"/>
    <row r="143" s="24" customFormat="1" x14ac:dyDescent="0.45"/>
    <row r="144" s="24" customFormat="1" x14ac:dyDescent="0.45"/>
    <row r="145" s="24" customFormat="1" x14ac:dyDescent="0.45"/>
    <row r="146" s="24" customFormat="1" x14ac:dyDescent="0.45"/>
    <row r="147" s="24" customFormat="1" x14ac:dyDescent="0.45"/>
    <row r="148" s="24" customFormat="1" x14ac:dyDescent="0.45"/>
    <row r="149" s="24" customFormat="1" x14ac:dyDescent="0.45"/>
    <row r="150" s="24" customFormat="1" x14ac:dyDescent="0.45"/>
    <row r="151" s="24" customFormat="1" x14ac:dyDescent="0.45"/>
    <row r="152" s="24" customFormat="1" x14ac:dyDescent="0.45"/>
    <row r="153" s="24" customFormat="1" x14ac:dyDescent="0.45"/>
    <row r="154" s="24" customFormat="1" x14ac:dyDescent="0.45"/>
    <row r="155" s="24" customFormat="1" x14ac:dyDescent="0.45"/>
    <row r="156" s="24" customFormat="1" x14ac:dyDescent="0.45"/>
    <row r="157" s="24" customFormat="1" x14ac:dyDescent="0.45"/>
    <row r="158" s="24" customFormat="1" x14ac:dyDescent="0.45"/>
    <row r="159" s="24" customFormat="1" x14ac:dyDescent="0.45"/>
    <row r="160" s="24" customFormat="1" x14ac:dyDescent="0.45"/>
    <row r="161" s="24" customFormat="1" x14ac:dyDescent="0.45"/>
    <row r="162" s="24" customFormat="1" x14ac:dyDescent="0.45"/>
    <row r="163" s="24" customFormat="1" x14ac:dyDescent="0.45"/>
    <row r="164" s="24" customFormat="1" x14ac:dyDescent="0.45"/>
    <row r="165" s="24" customFormat="1" x14ac:dyDescent="0.45"/>
    <row r="166" s="24" customFormat="1" x14ac:dyDescent="0.45"/>
    <row r="167" s="24" customFormat="1" x14ac:dyDescent="0.45"/>
    <row r="168" s="24" customFormat="1" x14ac:dyDescent="0.45"/>
    <row r="169" s="24" customFormat="1" x14ac:dyDescent="0.45"/>
    <row r="170" s="24" customFormat="1" x14ac:dyDescent="0.45"/>
    <row r="171" s="24" customFormat="1" x14ac:dyDescent="0.45"/>
    <row r="172" s="24" customFormat="1" x14ac:dyDescent="0.45"/>
    <row r="173" s="24" customFormat="1" x14ac:dyDescent="0.45"/>
    <row r="174" s="24" customFormat="1" x14ac:dyDescent="0.45"/>
    <row r="175" s="24" customFormat="1" x14ac:dyDescent="0.45"/>
    <row r="176" s="24" customFormat="1" x14ac:dyDescent="0.45"/>
    <row r="177" s="24" customFormat="1" x14ac:dyDescent="0.45"/>
    <row r="178" s="24" customFormat="1" x14ac:dyDescent="0.45"/>
    <row r="179" s="24" customFormat="1" x14ac:dyDescent="0.45"/>
    <row r="180" s="24" customFormat="1" x14ac:dyDescent="0.45"/>
    <row r="181" s="24" customFormat="1" x14ac:dyDescent="0.45"/>
    <row r="182" s="24" customFormat="1" x14ac:dyDescent="0.45"/>
    <row r="183" s="24" customFormat="1" x14ac:dyDescent="0.45"/>
  </sheetData>
  <pageMargins left="0.7" right="0.7" top="0.75" bottom="0.75" header="0.3" footer="0.3"/>
  <pageSetup paperSize="8" scale="91" orientation="landscape"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4" tint="0.79998168889431442"/>
    <pageSetUpPr fitToPage="1"/>
  </sheetPr>
  <dimension ref="A1:AK147"/>
  <sheetViews>
    <sheetView zoomScale="85" zoomScaleNormal="85" workbookViewId="0">
      <pane xSplit="4" ySplit="4" topLeftCell="E5" activePane="bottomRight" state="frozen"/>
      <selection activeCell="O109" sqref="O109"/>
      <selection pane="topRight" activeCell="O109" sqref="O109"/>
      <selection pane="bottomLeft" activeCell="O109" sqref="O109"/>
      <selection pane="bottomRight" activeCell="AC67" sqref="AC67"/>
    </sheetView>
  </sheetViews>
  <sheetFormatPr defaultColWidth="6.73046875" defaultRowHeight="10.15" outlineLevelRow="1" outlineLevelCol="1" x14ac:dyDescent="0.3"/>
  <cols>
    <col min="1" max="2" width="4.1328125" style="30" customWidth="1"/>
    <col min="3" max="3" width="4.1328125" style="31" customWidth="1"/>
    <col min="4" max="4" width="53" style="30" customWidth="1"/>
    <col min="5" max="5" width="8.3984375" style="137" customWidth="1"/>
    <col min="6" max="6" width="0.86328125" style="30" customWidth="1"/>
    <col min="7" max="7" width="8.1328125" style="30" customWidth="1"/>
    <col min="8" max="8" width="7.3984375" style="30" customWidth="1"/>
    <col min="9" max="9" width="7.265625" style="30" customWidth="1"/>
    <col min="10" max="11" width="6" style="30" hidden="1" customWidth="1" outlineLevel="1"/>
    <col min="12" max="12" width="4.86328125" style="30" hidden="1" customWidth="1" outlineLevel="1"/>
    <col min="13" max="13" width="6" style="30" hidden="1" customWidth="1" outlineLevel="1"/>
    <col min="14" max="14" width="7.265625" style="30" hidden="1" customWidth="1" outlineLevel="1"/>
    <col min="15" max="15" width="4.86328125" style="30" hidden="1" customWidth="1" outlineLevel="1"/>
    <col min="16" max="16" width="1.86328125" style="30" customWidth="1" collapsed="1"/>
    <col min="17" max="17" width="6.86328125" style="30" bestFit="1" customWidth="1"/>
    <col min="18" max="37" width="8.3984375" style="30" customWidth="1"/>
    <col min="38" max="16384" width="6.73046875" style="30"/>
  </cols>
  <sheetData>
    <row r="1" spans="1:37" s="39" customFormat="1" x14ac:dyDescent="0.3">
      <c r="C1" s="35"/>
      <c r="E1" s="81"/>
      <c r="G1" s="65"/>
      <c r="P1" s="66"/>
    </row>
    <row r="2" spans="1:37" s="55" customFormat="1" x14ac:dyDescent="0.3">
      <c r="A2" s="35"/>
      <c r="B2" s="35" t="s">
        <v>22</v>
      </c>
      <c r="C2" s="35"/>
      <c r="D2" s="35"/>
      <c r="E2" s="82" t="s">
        <v>5</v>
      </c>
      <c r="F2" s="35"/>
      <c r="G2" s="67" t="s">
        <v>33</v>
      </c>
      <c r="H2" s="53"/>
      <c r="I2" s="53"/>
      <c r="J2" s="53"/>
      <c r="K2" s="53"/>
      <c r="L2" s="53"/>
      <c r="M2" s="53"/>
      <c r="N2" s="53"/>
      <c r="O2" s="53"/>
      <c r="P2" s="68"/>
      <c r="Q2" s="56"/>
      <c r="R2" s="57" t="s">
        <v>149</v>
      </c>
      <c r="S2" s="54"/>
      <c r="T2" s="54"/>
      <c r="U2" s="54"/>
      <c r="V2" s="54"/>
      <c r="W2" s="54"/>
      <c r="X2" s="54"/>
      <c r="Y2" s="54"/>
      <c r="Z2" s="54"/>
      <c r="AA2" s="54"/>
      <c r="AB2" s="54"/>
      <c r="AC2" s="54"/>
      <c r="AD2" s="54"/>
      <c r="AE2" s="54"/>
      <c r="AF2" s="54"/>
      <c r="AG2" s="54"/>
      <c r="AH2" s="54"/>
      <c r="AI2" s="54"/>
      <c r="AJ2" s="54"/>
      <c r="AK2" s="54"/>
    </row>
    <row r="3" spans="1:37" s="43" customFormat="1" x14ac:dyDescent="0.45">
      <c r="E3" s="83" t="s">
        <v>150</v>
      </c>
      <c r="F3" s="44"/>
      <c r="G3" s="69" t="s">
        <v>6</v>
      </c>
      <c r="H3" s="44" t="s">
        <v>7</v>
      </c>
      <c r="I3" s="44" t="s">
        <v>8</v>
      </c>
      <c r="J3" s="44" t="s">
        <v>9</v>
      </c>
      <c r="K3" s="44" t="s">
        <v>151</v>
      </c>
      <c r="L3" s="44"/>
      <c r="M3" s="44"/>
      <c r="N3" s="44"/>
      <c r="O3" s="44"/>
      <c r="P3" s="70"/>
      <c r="Q3" s="58"/>
      <c r="R3" s="44">
        <v>1</v>
      </c>
      <c r="S3" s="44">
        <v>2</v>
      </c>
      <c r="T3" s="44">
        <v>3</v>
      </c>
      <c r="U3" s="44">
        <v>4</v>
      </c>
      <c r="V3" s="44">
        <v>5</v>
      </c>
      <c r="W3" s="44">
        <v>6</v>
      </c>
      <c r="X3" s="44">
        <v>7</v>
      </c>
      <c r="Y3" s="44">
        <v>8</v>
      </c>
      <c r="Z3" s="44">
        <v>9</v>
      </c>
      <c r="AA3" s="44">
        <v>10</v>
      </c>
      <c r="AB3" s="44">
        <v>11</v>
      </c>
      <c r="AC3" s="44">
        <v>12</v>
      </c>
      <c r="AD3" s="44">
        <v>13</v>
      </c>
      <c r="AE3" s="44">
        <v>14</v>
      </c>
      <c r="AF3" s="44">
        <v>15</v>
      </c>
      <c r="AG3" s="44">
        <v>16</v>
      </c>
      <c r="AH3" s="44">
        <v>17</v>
      </c>
      <c r="AI3" s="44">
        <v>18</v>
      </c>
      <c r="AJ3" s="44">
        <v>19</v>
      </c>
      <c r="AK3" s="44">
        <v>20</v>
      </c>
    </row>
    <row r="4" spans="1:37" s="59" customFormat="1" x14ac:dyDescent="0.3">
      <c r="C4" s="60"/>
      <c r="E4" s="84"/>
      <c r="G4" s="71" t="s">
        <v>176</v>
      </c>
      <c r="H4" s="61" t="s">
        <v>177</v>
      </c>
      <c r="I4" s="61" t="s">
        <v>178</v>
      </c>
      <c r="J4" s="61"/>
      <c r="K4" s="61"/>
      <c r="L4" s="61"/>
      <c r="M4" s="61"/>
      <c r="N4" s="61"/>
      <c r="O4" s="61"/>
      <c r="P4" s="72"/>
      <c r="R4" s="80">
        <v>1</v>
      </c>
      <c r="S4" s="80">
        <v>2</v>
      </c>
      <c r="T4" s="80">
        <v>3</v>
      </c>
      <c r="U4" s="80">
        <v>4</v>
      </c>
      <c r="V4" s="80">
        <v>1</v>
      </c>
      <c r="W4" s="80">
        <v>2</v>
      </c>
      <c r="X4" s="80">
        <v>3</v>
      </c>
      <c r="Y4" s="80">
        <v>4</v>
      </c>
      <c r="Z4" s="80">
        <v>1</v>
      </c>
      <c r="AA4" s="80">
        <v>2</v>
      </c>
      <c r="AB4" s="80">
        <v>3</v>
      </c>
      <c r="AC4" s="80">
        <v>4</v>
      </c>
      <c r="AD4" s="80">
        <v>1</v>
      </c>
      <c r="AE4" s="80">
        <v>2</v>
      </c>
      <c r="AF4" s="80">
        <v>3</v>
      </c>
      <c r="AG4" s="80">
        <v>4</v>
      </c>
      <c r="AH4" s="80">
        <v>1</v>
      </c>
      <c r="AI4" s="80">
        <v>2</v>
      </c>
      <c r="AJ4" s="80">
        <v>3</v>
      </c>
      <c r="AK4" s="80">
        <v>4</v>
      </c>
    </row>
    <row r="5" spans="1:37" x14ac:dyDescent="0.3">
      <c r="E5" s="85"/>
      <c r="G5" s="73"/>
      <c r="L5" s="40"/>
      <c r="P5" s="74"/>
      <c r="Q5" s="41"/>
      <c r="R5" s="41"/>
      <c r="S5" s="41"/>
      <c r="T5" s="41"/>
      <c r="U5" s="41"/>
      <c r="V5" s="41"/>
      <c r="W5" s="41"/>
      <c r="X5" s="41"/>
      <c r="Y5" s="41"/>
    </row>
    <row r="6" spans="1:37" s="48" customFormat="1" x14ac:dyDescent="0.3">
      <c r="A6" s="47" t="s">
        <v>24</v>
      </c>
      <c r="B6" s="46" t="s">
        <v>32</v>
      </c>
      <c r="C6" s="47"/>
      <c r="D6" s="47"/>
      <c r="E6" s="81"/>
      <c r="F6" s="47"/>
      <c r="G6" s="75"/>
      <c r="H6" s="47"/>
      <c r="I6" s="47"/>
      <c r="J6" s="47"/>
      <c r="K6" s="47"/>
      <c r="L6" s="47"/>
      <c r="M6" s="47"/>
      <c r="N6" s="47"/>
      <c r="O6" s="47"/>
      <c r="P6" s="76"/>
      <c r="Q6" s="47"/>
      <c r="R6" s="47"/>
      <c r="S6" s="47"/>
      <c r="T6" s="47"/>
      <c r="U6" s="47"/>
      <c r="V6" s="47"/>
      <c r="W6" s="47"/>
      <c r="X6" s="47"/>
      <c r="Y6" s="47"/>
      <c r="Z6" s="47"/>
      <c r="AA6" s="47"/>
      <c r="AB6" s="47"/>
      <c r="AC6" s="47"/>
      <c r="AD6" s="47"/>
      <c r="AE6" s="47"/>
      <c r="AF6" s="47"/>
      <c r="AG6" s="47"/>
      <c r="AH6" s="47"/>
      <c r="AI6" s="47"/>
      <c r="AJ6" s="47"/>
      <c r="AK6" s="47"/>
    </row>
    <row r="7" spans="1:37" s="51" customFormat="1" x14ac:dyDescent="0.3">
      <c r="B7" s="50"/>
      <c r="C7" s="45"/>
      <c r="D7" s="45"/>
      <c r="E7" s="86"/>
      <c r="F7" s="45"/>
      <c r="G7" s="77"/>
      <c r="H7" s="45"/>
      <c r="I7" s="45"/>
      <c r="J7" s="45"/>
      <c r="K7" s="45"/>
      <c r="L7" s="45"/>
      <c r="M7" s="45"/>
      <c r="N7" s="45"/>
      <c r="O7" s="45"/>
      <c r="P7" s="78"/>
      <c r="Q7" s="45"/>
      <c r="R7" s="45"/>
      <c r="S7" s="45"/>
      <c r="T7" s="45"/>
    </row>
    <row r="8" spans="1:37" ht="10.5" thickBot="1" x14ac:dyDescent="0.35">
      <c r="A8" s="51" t="s">
        <v>24</v>
      </c>
      <c r="B8" s="288" t="s">
        <v>175</v>
      </c>
      <c r="C8" s="49"/>
      <c r="D8" s="49"/>
      <c r="E8" s="174"/>
      <c r="F8" s="175"/>
      <c r="G8" s="176"/>
      <c r="H8" s="175"/>
      <c r="I8" s="175"/>
      <c r="J8" s="175"/>
      <c r="K8" s="175"/>
      <c r="L8" s="175"/>
      <c r="M8" s="175"/>
      <c r="N8" s="175"/>
      <c r="O8" s="175"/>
      <c r="P8" s="177"/>
      <c r="Q8" s="49"/>
      <c r="R8" s="49"/>
      <c r="S8" s="49"/>
      <c r="T8" s="49"/>
      <c r="U8" s="49"/>
      <c r="V8" s="49"/>
      <c r="W8" s="49"/>
      <c r="X8" s="49"/>
      <c r="Y8" s="49"/>
      <c r="Z8" s="49"/>
      <c r="AA8" s="49"/>
      <c r="AB8" s="49"/>
      <c r="AC8" s="49"/>
      <c r="AD8" s="49"/>
      <c r="AE8" s="49"/>
      <c r="AF8" s="49"/>
      <c r="AG8" s="49"/>
      <c r="AH8" s="49"/>
      <c r="AI8" s="49"/>
      <c r="AJ8" s="49"/>
      <c r="AK8" s="49"/>
    </row>
    <row r="9" spans="1:37" x14ac:dyDescent="0.3">
      <c r="E9" s="173"/>
      <c r="F9" s="178"/>
      <c r="G9" s="179"/>
      <c r="H9" s="178"/>
      <c r="I9" s="178"/>
      <c r="J9" s="178"/>
      <c r="K9" s="178"/>
      <c r="L9" s="180"/>
      <c r="M9" s="178"/>
      <c r="N9" s="178"/>
      <c r="O9" s="178"/>
      <c r="P9" s="181"/>
      <c r="Q9" s="41"/>
      <c r="R9" s="41"/>
      <c r="S9" s="41"/>
      <c r="T9" s="41"/>
      <c r="U9" s="41"/>
      <c r="V9" s="41"/>
      <c r="W9" s="41"/>
      <c r="X9" s="41"/>
      <c r="Y9" s="41"/>
    </row>
    <row r="10" spans="1:37" hidden="1" outlineLevel="1" x14ac:dyDescent="0.3">
      <c r="C10" s="30" t="s">
        <v>4</v>
      </c>
      <c r="E10" s="203">
        <f>SUM(R10:AC10)</f>
        <v>0</v>
      </c>
      <c r="F10" s="182"/>
      <c r="G10" s="204">
        <f>SUM(R10:AC10)</f>
        <v>0</v>
      </c>
      <c r="H10" s="205" t="e">
        <f>SUM(#REF!)</f>
        <v>#REF!</v>
      </c>
      <c r="I10" s="205" t="e">
        <f>SUM(#REF!)</f>
        <v>#REF!</v>
      </c>
      <c r="J10" s="205" t="e">
        <f>SUM(#REF!)</f>
        <v>#REF!</v>
      </c>
      <c r="K10" s="205" t="e">
        <f>SUM(#REF!)</f>
        <v>#REF!</v>
      </c>
      <c r="L10" s="182"/>
      <c r="M10" s="182"/>
      <c r="N10" s="182"/>
      <c r="O10" s="182"/>
      <c r="P10" s="184"/>
      <c r="Q10" s="162"/>
      <c r="R10" s="280"/>
      <c r="S10" s="280"/>
      <c r="T10" s="280"/>
      <c r="U10" s="280"/>
      <c r="V10" s="280"/>
      <c r="W10" s="280"/>
      <c r="X10" s="280"/>
      <c r="Y10" s="280"/>
      <c r="Z10" s="280"/>
      <c r="AA10" s="280"/>
      <c r="AB10" s="280"/>
      <c r="AC10" s="280"/>
      <c r="AD10" s="195"/>
      <c r="AE10" s="195"/>
      <c r="AF10" s="195"/>
      <c r="AG10" s="195"/>
      <c r="AH10" s="195"/>
      <c r="AI10" s="195"/>
      <c r="AJ10" s="195"/>
      <c r="AK10" s="195"/>
    </row>
    <row r="11" spans="1:37" hidden="1" outlineLevel="1" x14ac:dyDescent="0.3">
      <c r="C11" s="30" t="s">
        <v>12</v>
      </c>
      <c r="E11" s="203">
        <f>SUM(R11:AC11)</f>
        <v>0</v>
      </c>
      <c r="F11" s="182"/>
      <c r="G11" s="204">
        <f>SUM(R11:AC11)</f>
        <v>0</v>
      </c>
      <c r="H11" s="205" t="e">
        <f>SUM(#REF!)</f>
        <v>#REF!</v>
      </c>
      <c r="I11" s="205" t="e">
        <f>SUM(#REF!)</f>
        <v>#REF!</v>
      </c>
      <c r="J11" s="205" t="e">
        <f>SUM(#REF!)</f>
        <v>#REF!</v>
      </c>
      <c r="K11" s="205" t="e">
        <f>SUM(#REF!)</f>
        <v>#REF!</v>
      </c>
      <c r="L11" s="182"/>
      <c r="M11" s="182"/>
      <c r="N11" s="182"/>
      <c r="O11" s="182"/>
      <c r="P11" s="184"/>
      <c r="Q11" s="162"/>
      <c r="R11" s="280"/>
      <c r="S11" s="280"/>
      <c r="T11" s="280"/>
      <c r="U11" s="280"/>
      <c r="V11" s="280"/>
      <c r="W11" s="280"/>
      <c r="X11" s="280"/>
      <c r="Y11" s="280"/>
      <c r="Z11" s="280"/>
      <c r="AA11" s="280"/>
      <c r="AB11" s="280"/>
      <c r="AC11" s="280"/>
      <c r="AD11" s="195"/>
      <c r="AE11" s="195"/>
      <c r="AF11" s="195"/>
      <c r="AG11" s="195"/>
      <c r="AH11" s="195"/>
      <c r="AI11" s="195"/>
      <c r="AJ11" s="195"/>
      <c r="AK11" s="195"/>
    </row>
    <row r="12" spans="1:37" hidden="1" outlineLevel="1" x14ac:dyDescent="0.3">
      <c r="C12" s="30"/>
      <c r="E12" s="172"/>
      <c r="F12" s="182"/>
      <c r="G12" s="183"/>
      <c r="H12" s="182"/>
      <c r="I12" s="182"/>
      <c r="J12" s="182"/>
      <c r="K12" s="182"/>
      <c r="L12" s="182"/>
      <c r="M12" s="182"/>
      <c r="N12" s="182"/>
      <c r="O12" s="182"/>
      <c r="P12" s="184"/>
      <c r="Q12" s="162"/>
      <c r="R12" s="277"/>
      <c r="S12" s="277"/>
      <c r="T12" s="277"/>
      <c r="U12" s="277"/>
      <c r="V12" s="277"/>
      <c r="W12" s="277"/>
      <c r="X12" s="277"/>
      <c r="Y12" s="277"/>
      <c r="Z12" s="277"/>
      <c r="AA12" s="277"/>
      <c r="AB12" s="277"/>
      <c r="AC12" s="277"/>
      <c r="AD12" s="162"/>
      <c r="AE12" s="162"/>
      <c r="AF12" s="162"/>
      <c r="AG12" s="162"/>
      <c r="AH12" s="162"/>
      <c r="AI12" s="162"/>
      <c r="AJ12" s="162"/>
      <c r="AK12" s="162"/>
    </row>
    <row r="13" spans="1:37" hidden="1" outlineLevel="1" x14ac:dyDescent="0.3">
      <c r="C13" s="30" t="s">
        <v>53</v>
      </c>
      <c r="E13" s="203">
        <f>SUM(R13:AC13)</f>
        <v>0</v>
      </c>
      <c r="F13" s="182"/>
      <c r="G13" s="204">
        <f t="shared" ref="G13:G14" si="0">SUM(R13:AC13)</f>
        <v>0</v>
      </c>
      <c r="H13" s="205" t="e">
        <f>SUM(#REF!)</f>
        <v>#REF!</v>
      </c>
      <c r="I13" s="205" t="e">
        <f>SUM(#REF!)</f>
        <v>#REF!</v>
      </c>
      <c r="J13" s="205" t="e">
        <f>SUM(#REF!)</f>
        <v>#REF!</v>
      </c>
      <c r="K13" s="205" t="e">
        <f>SUM(#REF!)</f>
        <v>#REF!</v>
      </c>
      <c r="L13" s="182"/>
      <c r="M13" s="182"/>
      <c r="N13" s="182"/>
      <c r="O13" s="182"/>
      <c r="P13" s="184"/>
      <c r="Q13" s="162"/>
      <c r="R13" s="280"/>
      <c r="S13" s="280"/>
      <c r="T13" s="280"/>
      <c r="U13" s="280"/>
      <c r="V13" s="280"/>
      <c r="W13" s="280"/>
      <c r="X13" s="280"/>
      <c r="Y13" s="280"/>
      <c r="Z13" s="280"/>
      <c r="AA13" s="280"/>
      <c r="AB13" s="280"/>
      <c r="AC13" s="280"/>
      <c r="AD13" s="195"/>
      <c r="AE13" s="195"/>
      <c r="AF13" s="195"/>
      <c r="AG13" s="195"/>
      <c r="AH13" s="195"/>
      <c r="AI13" s="195"/>
      <c r="AJ13" s="195"/>
      <c r="AK13" s="195"/>
    </row>
    <row r="14" spans="1:37" hidden="1" outlineLevel="1" x14ac:dyDescent="0.3">
      <c r="C14" s="30" t="s">
        <v>54</v>
      </c>
      <c r="E14" s="203">
        <f>SUM(R14:AC14)</f>
        <v>0</v>
      </c>
      <c r="F14" s="182"/>
      <c r="G14" s="204">
        <f t="shared" si="0"/>
        <v>0</v>
      </c>
      <c r="H14" s="205" t="e">
        <f>SUM(#REF!)</f>
        <v>#REF!</v>
      </c>
      <c r="I14" s="205" t="e">
        <f>SUM(#REF!)</f>
        <v>#REF!</v>
      </c>
      <c r="J14" s="205" t="e">
        <f>SUM(#REF!)</f>
        <v>#REF!</v>
      </c>
      <c r="K14" s="205" t="e">
        <f>SUM(#REF!)</f>
        <v>#REF!</v>
      </c>
      <c r="L14" s="182"/>
      <c r="M14" s="182"/>
      <c r="N14" s="182"/>
      <c r="O14" s="182"/>
      <c r="P14" s="184"/>
      <c r="Q14" s="162"/>
      <c r="R14" s="280"/>
      <c r="S14" s="280"/>
      <c r="T14" s="280"/>
      <c r="U14" s="280"/>
      <c r="V14" s="280"/>
      <c r="W14" s="280"/>
      <c r="X14" s="280"/>
      <c r="Y14" s="280"/>
      <c r="Z14" s="280"/>
      <c r="AA14" s="280"/>
      <c r="AB14" s="280"/>
      <c r="AC14" s="280"/>
      <c r="AD14" s="195"/>
      <c r="AE14" s="195"/>
      <c r="AF14" s="195"/>
      <c r="AG14" s="195"/>
      <c r="AH14" s="195"/>
      <c r="AI14" s="195"/>
      <c r="AJ14" s="195"/>
      <c r="AK14" s="195"/>
    </row>
    <row r="15" spans="1:37" hidden="1" outlineLevel="1" x14ac:dyDescent="0.3">
      <c r="C15" s="30"/>
      <c r="E15" s="172"/>
      <c r="F15" s="182"/>
      <c r="G15" s="183"/>
      <c r="H15" s="182"/>
      <c r="I15" s="182"/>
      <c r="J15" s="182"/>
      <c r="K15" s="182"/>
      <c r="L15" s="182"/>
      <c r="M15" s="182"/>
      <c r="N15" s="182"/>
      <c r="O15" s="182"/>
      <c r="P15" s="184"/>
      <c r="Q15" s="162"/>
      <c r="R15" s="277"/>
      <c r="S15" s="277"/>
      <c r="T15" s="277"/>
      <c r="U15" s="277"/>
      <c r="V15" s="277"/>
      <c r="W15" s="277"/>
      <c r="X15" s="277"/>
      <c r="Y15" s="277"/>
      <c r="Z15" s="277"/>
      <c r="AA15" s="277"/>
      <c r="AB15" s="277"/>
      <c r="AC15" s="277"/>
      <c r="AD15" s="162"/>
      <c r="AE15" s="162"/>
      <c r="AF15" s="162"/>
      <c r="AG15" s="162"/>
      <c r="AH15" s="162"/>
      <c r="AI15" s="162"/>
      <c r="AJ15" s="162"/>
      <c r="AK15" s="162"/>
    </row>
    <row r="16" spans="1:37" hidden="1" outlineLevel="1" x14ac:dyDescent="0.3">
      <c r="C16" s="30" t="s">
        <v>55</v>
      </c>
      <c r="E16" s="203">
        <f>MAX(R16:AC16)</f>
        <v>0</v>
      </c>
      <c r="F16" s="182"/>
      <c r="G16" s="204" t="e">
        <f>AVERAGE(R16:AC16)</f>
        <v>#DIV/0!</v>
      </c>
      <c r="H16" s="205" t="e">
        <f>AVERAGE(#REF!)</f>
        <v>#REF!</v>
      </c>
      <c r="I16" s="205" t="e">
        <f>AVERAGE(#REF!)</f>
        <v>#REF!</v>
      </c>
      <c r="J16" s="205" t="e">
        <f>AVERAGE(#REF!)</f>
        <v>#REF!</v>
      </c>
      <c r="K16" s="205" t="e">
        <f>AVERAGE(#REF!)</f>
        <v>#REF!</v>
      </c>
      <c r="L16" s="182"/>
      <c r="M16" s="182"/>
      <c r="N16" s="182"/>
      <c r="O16" s="182"/>
      <c r="P16" s="184"/>
      <c r="Q16" s="196">
        <v>0</v>
      </c>
      <c r="R16" s="280"/>
      <c r="S16" s="280"/>
      <c r="T16" s="280"/>
      <c r="U16" s="280"/>
      <c r="V16" s="280"/>
      <c r="W16" s="280"/>
      <c r="X16" s="280"/>
      <c r="Y16" s="280"/>
      <c r="Z16" s="280"/>
      <c r="AA16" s="280"/>
      <c r="AB16" s="280"/>
      <c r="AC16" s="280"/>
      <c r="AD16" s="197"/>
      <c r="AE16" s="197"/>
      <c r="AF16" s="197"/>
      <c r="AG16" s="197"/>
      <c r="AH16" s="197"/>
      <c r="AI16" s="197"/>
      <c r="AJ16" s="197"/>
      <c r="AK16" s="197"/>
    </row>
    <row r="17" spans="1:37" hidden="1" outlineLevel="1" x14ac:dyDescent="0.3">
      <c r="C17" s="30" t="s">
        <v>56</v>
      </c>
      <c r="E17" s="203">
        <f>MAX(R17:AC17)</f>
        <v>0</v>
      </c>
      <c r="F17" s="182"/>
      <c r="G17" s="204" t="e">
        <f>AVERAGE(R17:AC17)</f>
        <v>#DIV/0!</v>
      </c>
      <c r="H17" s="205" t="e">
        <f>AVERAGE(#REF!)</f>
        <v>#REF!</v>
      </c>
      <c r="I17" s="205" t="e">
        <f>AVERAGE(#REF!)</f>
        <v>#REF!</v>
      </c>
      <c r="J17" s="205" t="e">
        <f>AVERAGE(#REF!)</f>
        <v>#REF!</v>
      </c>
      <c r="K17" s="205" t="e">
        <f>AVERAGE(#REF!)</f>
        <v>#REF!</v>
      </c>
      <c r="L17" s="182"/>
      <c r="M17" s="182"/>
      <c r="N17" s="182"/>
      <c r="O17" s="182"/>
      <c r="P17" s="184"/>
      <c r="Q17" s="198">
        <v>0</v>
      </c>
      <c r="R17" s="280"/>
      <c r="S17" s="280"/>
      <c r="T17" s="280"/>
      <c r="U17" s="280"/>
      <c r="V17" s="280"/>
      <c r="W17" s="280"/>
      <c r="X17" s="280"/>
      <c r="Y17" s="280"/>
      <c r="Z17" s="280"/>
      <c r="AA17" s="280"/>
      <c r="AB17" s="280"/>
      <c r="AC17" s="280"/>
      <c r="AD17" s="197"/>
      <c r="AE17" s="197"/>
      <c r="AF17" s="197"/>
      <c r="AG17" s="197"/>
      <c r="AH17" s="197"/>
      <c r="AI17" s="197"/>
      <c r="AJ17" s="197"/>
      <c r="AK17" s="197"/>
    </row>
    <row r="18" spans="1:37" hidden="1" outlineLevel="1" x14ac:dyDescent="0.3">
      <c r="C18" s="30"/>
      <c r="E18" s="172"/>
      <c r="F18" s="182"/>
      <c r="G18" s="183"/>
      <c r="H18" s="182"/>
      <c r="I18" s="182"/>
      <c r="J18" s="182"/>
      <c r="K18" s="182"/>
      <c r="L18" s="182"/>
      <c r="M18" s="182"/>
      <c r="N18" s="182"/>
      <c r="O18" s="182"/>
      <c r="P18" s="184"/>
      <c r="Q18" s="162"/>
      <c r="R18" s="277"/>
      <c r="S18" s="277"/>
      <c r="T18" s="277"/>
      <c r="U18" s="277"/>
      <c r="V18" s="277"/>
      <c r="W18" s="277"/>
      <c r="X18" s="277"/>
      <c r="Y18" s="277"/>
      <c r="Z18" s="277"/>
      <c r="AA18" s="277"/>
      <c r="AB18" s="277"/>
      <c r="AC18" s="277"/>
      <c r="AD18" s="162"/>
      <c r="AE18" s="162"/>
      <c r="AF18" s="162"/>
      <c r="AG18" s="162"/>
      <c r="AH18" s="162"/>
      <c r="AI18" s="162"/>
      <c r="AJ18" s="162"/>
      <c r="AK18" s="162"/>
    </row>
    <row r="19" spans="1:37" collapsed="1" x14ac:dyDescent="0.3">
      <c r="C19" s="30"/>
      <c r="E19" s="172"/>
      <c r="F19" s="182"/>
      <c r="G19" s="183"/>
      <c r="H19" s="182"/>
      <c r="I19" s="182"/>
      <c r="J19" s="182"/>
      <c r="K19" s="182"/>
      <c r="L19" s="182"/>
      <c r="M19" s="182"/>
      <c r="N19" s="182"/>
      <c r="O19" s="182"/>
      <c r="P19" s="184"/>
      <c r="Q19" s="162"/>
      <c r="R19" s="277"/>
      <c r="S19" s="277"/>
      <c r="T19" s="277"/>
      <c r="U19" s="277"/>
      <c r="V19" s="277"/>
      <c r="W19" s="277"/>
      <c r="X19" s="277"/>
      <c r="Y19" s="277"/>
      <c r="Z19" s="277"/>
      <c r="AA19" s="277"/>
      <c r="AB19" s="277"/>
      <c r="AC19" s="277"/>
      <c r="AD19" s="162"/>
      <c r="AE19" s="162"/>
      <c r="AF19" s="162"/>
      <c r="AG19" s="162"/>
      <c r="AH19" s="162"/>
      <c r="AI19" s="162"/>
      <c r="AJ19" s="162"/>
      <c r="AK19" s="162"/>
    </row>
    <row r="20" spans="1:37" ht="10.5" thickBot="1" x14ac:dyDescent="0.35">
      <c r="A20" s="51" t="s">
        <v>24</v>
      </c>
      <c r="B20" s="52" t="s">
        <v>59</v>
      </c>
      <c r="C20" s="49"/>
      <c r="D20" s="49"/>
      <c r="E20" s="174"/>
      <c r="F20" s="175"/>
      <c r="G20" s="176"/>
      <c r="H20" s="175"/>
      <c r="I20" s="175"/>
      <c r="J20" s="175"/>
      <c r="K20" s="175"/>
      <c r="L20" s="175"/>
      <c r="M20" s="175"/>
      <c r="N20" s="175"/>
      <c r="O20" s="175"/>
      <c r="P20" s="177"/>
      <c r="Q20" s="163"/>
      <c r="R20" s="163"/>
      <c r="S20" s="163"/>
      <c r="T20" s="163"/>
      <c r="U20" s="163"/>
      <c r="V20" s="163"/>
      <c r="W20" s="163"/>
      <c r="X20" s="163"/>
      <c r="Y20" s="163"/>
      <c r="Z20" s="163"/>
      <c r="AA20" s="163"/>
      <c r="AB20" s="163"/>
      <c r="AC20" s="163"/>
      <c r="AD20" s="163"/>
      <c r="AE20" s="163"/>
      <c r="AF20" s="163"/>
      <c r="AG20" s="163"/>
      <c r="AH20" s="163"/>
      <c r="AI20" s="163"/>
      <c r="AJ20" s="163"/>
      <c r="AK20" s="163"/>
    </row>
    <row r="21" spans="1:37" x14ac:dyDescent="0.3">
      <c r="C21" s="30"/>
      <c r="E21" s="172"/>
      <c r="F21" s="182"/>
      <c r="G21" s="183"/>
      <c r="H21" s="182"/>
      <c r="I21" s="182"/>
      <c r="J21" s="182"/>
      <c r="K21" s="182"/>
      <c r="L21" s="182"/>
      <c r="M21" s="182"/>
      <c r="N21" s="182"/>
      <c r="O21" s="182"/>
      <c r="P21" s="184"/>
      <c r="Q21" s="162"/>
      <c r="R21" s="277"/>
      <c r="S21" s="277"/>
      <c r="T21" s="277"/>
      <c r="U21" s="277"/>
      <c r="V21" s="277"/>
      <c r="W21" s="277"/>
      <c r="X21" s="277"/>
      <c r="Y21" s="277"/>
      <c r="Z21" s="277"/>
      <c r="AA21" s="277"/>
      <c r="AB21" s="277"/>
      <c r="AC21" s="277"/>
      <c r="AD21" s="162"/>
      <c r="AE21" s="162"/>
      <c r="AF21" s="162"/>
      <c r="AG21" s="162"/>
      <c r="AH21" s="162"/>
      <c r="AI21" s="162"/>
      <c r="AJ21" s="162"/>
      <c r="AK21" s="162"/>
    </row>
    <row r="22" spans="1:37" x14ac:dyDescent="0.3">
      <c r="C22" s="31" t="s">
        <v>144</v>
      </c>
      <c r="E22" s="172"/>
      <c r="F22" s="182"/>
      <c r="G22" s="183"/>
      <c r="H22" s="182"/>
      <c r="I22" s="182"/>
      <c r="J22" s="182"/>
      <c r="K22" s="182"/>
      <c r="L22" s="182"/>
      <c r="M22" s="182"/>
      <c r="N22" s="182"/>
      <c r="O22" s="182"/>
      <c r="P22" s="184"/>
      <c r="Q22" s="162"/>
      <c r="R22" s="277"/>
      <c r="S22" s="277"/>
      <c r="T22" s="277"/>
      <c r="U22" s="277"/>
      <c r="V22" s="277"/>
      <c r="W22" s="277"/>
      <c r="X22" s="277"/>
      <c r="Y22" s="277"/>
      <c r="Z22" s="277"/>
      <c r="AA22" s="277"/>
      <c r="AB22" s="277"/>
      <c r="AC22" s="277"/>
      <c r="AD22" s="162"/>
      <c r="AE22" s="162"/>
      <c r="AF22" s="162"/>
      <c r="AG22" s="162"/>
      <c r="AH22" s="162"/>
      <c r="AI22" s="162"/>
      <c r="AJ22" s="162"/>
      <c r="AK22" s="162"/>
    </row>
    <row r="23" spans="1:37" x14ac:dyDescent="0.3">
      <c r="C23" s="30" t="s">
        <v>145</v>
      </c>
      <c r="E23" s="203">
        <f ca="1">AC23</f>
        <v>255.21303196521174</v>
      </c>
      <c r="F23" s="182"/>
      <c r="G23" s="204">
        <f>U23</f>
        <v>37.125</v>
      </c>
      <c r="H23" s="205">
        <f ca="1">Y23</f>
        <v>122.53817328078442</v>
      </c>
      <c r="I23" s="205">
        <f ca="1">AC23</f>
        <v>255.21303196521174</v>
      </c>
      <c r="J23" s="204">
        <f t="shared" ref="J23" ca="1" si="1">X23</f>
        <v>98.252100170120656</v>
      </c>
      <c r="K23" s="205">
        <f t="shared" ref="K23" ca="1" si="2">AB23</f>
        <v>219.23112196241863</v>
      </c>
      <c r="L23" s="205">
        <f t="shared" ref="L23" si="3">AF23</f>
        <v>0</v>
      </c>
      <c r="M23" s="204">
        <f t="shared" ref="M23" ca="1" si="4">AA23</f>
        <v>183.04804622637172</v>
      </c>
      <c r="N23" s="205">
        <f t="shared" ref="N23" si="5">AE23</f>
        <v>0</v>
      </c>
      <c r="O23" s="205">
        <f t="shared" ref="O23" si="6">AI23</f>
        <v>0</v>
      </c>
      <c r="P23" s="204"/>
      <c r="Q23" s="162"/>
      <c r="R23" s="280">
        <f t="shared" ref="R23:AC23" si="7">Q30</f>
        <v>0</v>
      </c>
      <c r="S23" s="280">
        <f t="shared" si="7"/>
        <v>12.375</v>
      </c>
      <c r="T23" s="280">
        <f t="shared" si="7"/>
        <v>24.75</v>
      </c>
      <c r="U23" s="280">
        <f t="shared" si="7"/>
        <v>37.125</v>
      </c>
      <c r="V23" s="280">
        <f t="shared" ca="1" si="7"/>
        <v>49.339602635072858</v>
      </c>
      <c r="W23" s="280">
        <f t="shared" ca="1" si="7"/>
        <v>73.846351179985959</v>
      </c>
      <c r="X23" s="280">
        <f t="shared" ca="1" si="7"/>
        <v>98.252100170120656</v>
      </c>
      <c r="Y23" s="280">
        <f t="shared" ca="1" si="7"/>
        <v>122.53817328078442</v>
      </c>
      <c r="Z23" s="280">
        <f t="shared" ca="1" si="7"/>
        <v>146.68516717742014</v>
      </c>
      <c r="AA23" s="280">
        <f t="shared" ca="1" si="7"/>
        <v>183.04804622637172</v>
      </c>
      <c r="AB23" s="280">
        <f t="shared" ca="1" si="7"/>
        <v>219.23112196241863</v>
      </c>
      <c r="AC23" s="280">
        <f t="shared" ca="1" si="7"/>
        <v>255.21303196521174</v>
      </c>
      <c r="AD23" s="199"/>
      <c r="AE23" s="199"/>
      <c r="AF23" s="199"/>
      <c r="AG23" s="199"/>
      <c r="AH23" s="199"/>
      <c r="AI23" s="199"/>
      <c r="AJ23" s="199"/>
      <c r="AK23" s="199"/>
    </row>
    <row r="24" spans="1:37" x14ac:dyDescent="0.3">
      <c r="C24" s="30" t="s">
        <v>153</v>
      </c>
      <c r="E24" s="203">
        <f>SUM(R24:AC24)</f>
        <v>300</v>
      </c>
      <c r="F24" s="182"/>
      <c r="G24" s="204">
        <f>SUM(R24:U24)</f>
        <v>50</v>
      </c>
      <c r="H24" s="205">
        <f>SUM(V24:Y24)</f>
        <v>100</v>
      </c>
      <c r="I24" s="205">
        <f>SUM(Z24:AC24)</f>
        <v>150</v>
      </c>
      <c r="J24" s="205"/>
      <c r="K24" s="205"/>
      <c r="L24" s="182"/>
      <c r="M24" s="182"/>
      <c r="N24" s="182"/>
      <c r="O24" s="182"/>
      <c r="P24" s="184"/>
      <c r="Q24" s="162"/>
      <c r="R24" s="280">
        <f>Assumptions!E11*Assumptions!E14</f>
        <v>12.5</v>
      </c>
      <c r="S24" s="280">
        <f>Assumptions!E11*Assumptions!F14</f>
        <v>12.5</v>
      </c>
      <c r="T24" s="280">
        <f>Assumptions!E11*Assumptions!G14</f>
        <v>12.5</v>
      </c>
      <c r="U24" s="280">
        <f>Assumptions!E11*Assumptions!H14</f>
        <v>12.5</v>
      </c>
      <c r="V24" s="280">
        <f>Assumptions!F11*Assumptions!E14</f>
        <v>25</v>
      </c>
      <c r="W24" s="280">
        <f>Assumptions!F11*Assumptions!F14</f>
        <v>25</v>
      </c>
      <c r="X24" s="280">
        <f>Assumptions!F11*Assumptions!G14</f>
        <v>25</v>
      </c>
      <c r="Y24" s="280">
        <f>Assumptions!F11*Assumptions!H14</f>
        <v>25</v>
      </c>
      <c r="Z24" s="280">
        <f>Assumptions!G11*Assumptions!E14</f>
        <v>37.5</v>
      </c>
      <c r="AA24" s="280">
        <f>Assumptions!G11*Assumptions!F14</f>
        <v>37.5</v>
      </c>
      <c r="AB24" s="280">
        <f>Assumptions!G11*Assumptions!G14</f>
        <v>37.5</v>
      </c>
      <c r="AC24" s="280">
        <f>Assumptions!G11*Assumptions!H14</f>
        <v>37.5</v>
      </c>
      <c r="AD24" s="199"/>
      <c r="AE24" s="199"/>
      <c r="AF24" s="199"/>
      <c r="AG24" s="199"/>
      <c r="AH24" s="199"/>
      <c r="AI24" s="199"/>
      <c r="AJ24" s="199"/>
      <c r="AK24" s="199"/>
    </row>
    <row r="25" spans="1:37" x14ac:dyDescent="0.3">
      <c r="C25" s="30" t="s">
        <v>146</v>
      </c>
      <c r="E25" s="203">
        <f>SUM(R25:AC25)</f>
        <v>-3</v>
      </c>
      <c r="F25" s="182"/>
      <c r="G25" s="204">
        <f>SUM(R25:U25)</f>
        <v>-0.5</v>
      </c>
      <c r="H25" s="205">
        <f>SUM(V25:Y25)</f>
        <v>-1</v>
      </c>
      <c r="I25" s="205">
        <f>SUM(Z25:AC25)</f>
        <v>-1.5</v>
      </c>
      <c r="J25" s="205"/>
      <c r="K25" s="205"/>
      <c r="L25" s="182"/>
      <c r="M25" s="182"/>
      <c r="N25" s="182"/>
      <c r="O25" s="182"/>
      <c r="P25" s="184"/>
      <c r="Q25" s="162"/>
      <c r="R25" s="280">
        <f>-R24*Assumptions!$E$27</f>
        <v>-0.125</v>
      </c>
      <c r="S25" s="280">
        <f>-S24*Assumptions!$E$27</f>
        <v>-0.125</v>
      </c>
      <c r="T25" s="280">
        <f>-T24*Assumptions!$E$27</f>
        <v>-0.125</v>
      </c>
      <c r="U25" s="280">
        <f>-U24*Assumptions!$E$27</f>
        <v>-0.125</v>
      </c>
      <c r="V25" s="280">
        <f>-V24*Assumptions!$E$27</f>
        <v>-0.25</v>
      </c>
      <c r="W25" s="280">
        <f>-W24*Assumptions!$E$27</f>
        <v>-0.25</v>
      </c>
      <c r="X25" s="280">
        <f>-X24*Assumptions!$E$27</f>
        <v>-0.25</v>
      </c>
      <c r="Y25" s="280">
        <f>-Y24*Assumptions!$E$27</f>
        <v>-0.25</v>
      </c>
      <c r="Z25" s="280">
        <f>-Z24*Assumptions!$E$27</f>
        <v>-0.375</v>
      </c>
      <c r="AA25" s="280">
        <f>-AA24*Assumptions!$E$27</f>
        <v>-0.375</v>
      </c>
      <c r="AB25" s="280">
        <f>-AB24*Assumptions!$E$27</f>
        <v>-0.375</v>
      </c>
      <c r="AC25" s="280">
        <f>-AC24*Assumptions!$E$27</f>
        <v>-0.375</v>
      </c>
      <c r="AD25" s="195"/>
      <c r="AE25" s="195"/>
      <c r="AF25" s="195"/>
      <c r="AG25" s="195"/>
      <c r="AH25" s="195"/>
      <c r="AI25" s="195"/>
      <c r="AJ25" s="195"/>
      <c r="AK25" s="195"/>
    </row>
    <row r="26" spans="1:37" x14ac:dyDescent="0.3">
      <c r="C26" s="30" t="s">
        <v>163</v>
      </c>
      <c r="E26" s="203">
        <f t="shared" ref="E26:E29" ca="1" si="8">SUM(R26:AC26)</f>
        <v>33.61609885142812</v>
      </c>
      <c r="F26" s="182"/>
      <c r="G26" s="204">
        <f t="shared" ref="G26:G27" si="9">SUM(R26:U26)</f>
        <v>2.0418750000000001</v>
      </c>
      <c r="H26" s="205">
        <f t="shared" ref="H26:H27" ca="1" si="10">SUM(V26:Y26)</f>
        <v>9.4593462498140077</v>
      </c>
      <c r="I26" s="205">
        <f t="shared" ref="I26:I27" ca="1" si="11">SUM(Z26:AC26)</f>
        <v>22.114877601614111</v>
      </c>
      <c r="J26" s="205"/>
      <c r="K26" s="205"/>
      <c r="L26" s="182"/>
      <c r="M26" s="182"/>
      <c r="N26" s="182"/>
      <c r="O26" s="182"/>
      <c r="P26" s="184"/>
      <c r="Q26" s="162"/>
      <c r="R26" s="280">
        <f>IF(ISERROR(Q30*Assumptions!$E$23/Assumptions!$E$25),0,(Q30*Assumptions!$E$23/Assumptions!$E$25))</f>
        <v>0</v>
      </c>
      <c r="S26" s="280">
        <f>IF(ISERROR(R30*Assumptions!$E$23/Assumptions!$E$25),0,(R30*Assumptions!$E$23/Assumptions!$E$25))</f>
        <v>0.34031250000000002</v>
      </c>
      <c r="T26" s="280">
        <f>IF(ISERROR(S30*Assumptions!$E$23/Assumptions!$E$25),0,(S30*Assumptions!$E$23/Assumptions!$E$25))</f>
        <v>0.68062500000000004</v>
      </c>
      <c r="U26" s="280">
        <f>IF(ISERROR(T30*Assumptions!$E$23/Assumptions!$E$25),0,(T30*Assumptions!$E$23/Assumptions!$E$25))</f>
        <v>1.0209375000000001</v>
      </c>
      <c r="V26" s="280">
        <f ca="1">IF(ISERROR(U30*Assumptions!$E$23/Assumptions!$E$25),0,(U30*Assumptions!$E$23/Assumptions!$E$25))</f>
        <v>1.3568390724645036</v>
      </c>
      <c r="W26" s="280">
        <f ca="1">IF(ISERROR(V30*Assumptions!$E$23/Assumptions!$E$25),0,(V30*Assumptions!$E$23/Assumptions!$E$25))</f>
        <v>2.0307746574496139</v>
      </c>
      <c r="X26" s="280">
        <f ca="1">IF(ISERROR(W30*Assumptions!$E$23/Assumptions!$E$25),0,(W30*Assumptions!$E$23/Assumptions!$E$25))</f>
        <v>2.7019327546783178</v>
      </c>
      <c r="Y26" s="280">
        <f ca="1">IF(ISERROR(X30*Assumptions!$E$23/Assumptions!$E$25),0,(X30*Assumptions!$E$23/Assumptions!$E$25))</f>
        <v>3.3697997652215714</v>
      </c>
      <c r="Z26" s="280">
        <f ca="1">IF(ISERROR(Y30*Assumptions!$E$23/Assumptions!$E$25),0,(Y30*Assumptions!$E$23/Assumptions!$E$25))</f>
        <v>4.0338420973790541</v>
      </c>
      <c r="AA26" s="280">
        <f ca="1">IF(ISERROR(Z30*Assumptions!$E$23/Assumptions!$E$25),0,(Z30*Assumptions!$E$23/Assumptions!$E$25))</f>
        <v>5.0338212712252224</v>
      </c>
      <c r="AB26" s="280">
        <f ca="1">IF(ISERROR(AA30*Assumptions!$E$23/Assumptions!$E$25),0,(AA30*Assumptions!$E$23/Assumptions!$E$25))</f>
        <v>6.0288558539665127</v>
      </c>
      <c r="AC26" s="280">
        <f ca="1">IF(ISERROR(AB30*Assumptions!$E$23/Assumptions!$E$25),0,(AB30*Assumptions!$E$23/Assumptions!$E$25))</f>
        <v>7.018358379043323</v>
      </c>
      <c r="AD26" s="199"/>
      <c r="AE26" s="199"/>
      <c r="AF26" s="199"/>
      <c r="AG26" s="199"/>
      <c r="AH26" s="199"/>
      <c r="AI26" s="199"/>
      <c r="AJ26" s="199"/>
      <c r="AK26" s="199"/>
    </row>
    <row r="27" spans="1:37" x14ac:dyDescent="0.3">
      <c r="C27" s="30" t="s">
        <v>164</v>
      </c>
      <c r="E27" s="203">
        <f t="shared" ca="1" si="8"/>
        <v>-33.61609885142812</v>
      </c>
      <c r="F27" s="182"/>
      <c r="G27" s="204">
        <f t="shared" si="9"/>
        <v>-2.0418750000000001</v>
      </c>
      <c r="H27" s="205">
        <f t="shared" ca="1" si="10"/>
        <v>-9.4593462498140077</v>
      </c>
      <c r="I27" s="205">
        <f t="shared" ca="1" si="11"/>
        <v>-22.114877601614111</v>
      </c>
      <c r="J27" s="205"/>
      <c r="K27" s="205"/>
      <c r="L27" s="182"/>
      <c r="M27" s="182"/>
      <c r="N27" s="182"/>
      <c r="O27" s="182"/>
      <c r="P27" s="184"/>
      <c r="Q27" s="162"/>
      <c r="R27" s="280">
        <f t="shared" ref="R27" si="12">R52</f>
        <v>0</v>
      </c>
      <c r="S27" s="280">
        <f>S52</f>
        <v>-0.34031250000000002</v>
      </c>
      <c r="T27" s="280">
        <f t="shared" ref="T27:AC27" si="13">T52</f>
        <v>-0.68062500000000004</v>
      </c>
      <c r="U27" s="280">
        <f t="shared" si="13"/>
        <v>-1.0209375000000001</v>
      </c>
      <c r="V27" s="280">
        <f t="shared" ca="1" si="13"/>
        <v>-1.3568390724645036</v>
      </c>
      <c r="W27" s="280">
        <f t="shared" ca="1" si="13"/>
        <v>-2.0307746574496139</v>
      </c>
      <c r="X27" s="280">
        <f t="shared" ca="1" si="13"/>
        <v>-2.7019327546783178</v>
      </c>
      <c r="Y27" s="280">
        <f t="shared" ca="1" si="13"/>
        <v>-3.3697997652215714</v>
      </c>
      <c r="Z27" s="280">
        <f t="shared" ca="1" si="13"/>
        <v>-4.0338420973790541</v>
      </c>
      <c r="AA27" s="280">
        <f t="shared" ca="1" si="13"/>
        <v>-5.0338212712252224</v>
      </c>
      <c r="AB27" s="280">
        <f t="shared" ca="1" si="13"/>
        <v>-6.0288558539665127</v>
      </c>
      <c r="AC27" s="280">
        <f t="shared" ca="1" si="13"/>
        <v>-7.018358379043323</v>
      </c>
      <c r="AD27" s="199"/>
      <c r="AE27" s="199"/>
      <c r="AF27" s="199"/>
      <c r="AG27" s="199"/>
      <c r="AH27" s="199"/>
      <c r="AI27" s="199"/>
      <c r="AJ27" s="199"/>
      <c r="AK27" s="199"/>
    </row>
    <row r="28" spans="1:37" x14ac:dyDescent="0.3">
      <c r="C28" s="30" t="s">
        <v>152</v>
      </c>
      <c r="E28" s="203">
        <f t="shared" ca="1" si="8"/>
        <v>-6.0282820952994776</v>
      </c>
      <c r="F28" s="182"/>
      <c r="G28" s="204">
        <f t="shared" ref="G28" ca="1" si="14">SUM(R28:U28)</f>
        <v>-0.16039736492714185</v>
      </c>
      <c r="H28" s="205">
        <f t="shared" ref="H28" ca="1" si="15">SUM(V28:Y28)</f>
        <v>-1.6544354576526981</v>
      </c>
      <c r="I28" s="205">
        <f t="shared" ref="I28" ca="1" si="16">SUM(Z28:AC28)</f>
        <v>-4.2134492727196378</v>
      </c>
      <c r="J28" s="205"/>
      <c r="K28" s="205"/>
      <c r="L28" s="182"/>
      <c r="M28" s="182"/>
      <c r="N28" s="182"/>
      <c r="O28" s="182"/>
      <c r="P28" s="184"/>
      <c r="Q28" s="162"/>
      <c r="R28" s="325">
        <f>-R45</f>
        <v>0</v>
      </c>
      <c r="S28" s="325">
        <f t="shared" ref="S28:AC28" si="17">-S45</f>
        <v>0</v>
      </c>
      <c r="T28" s="325">
        <f t="shared" si="17"/>
        <v>0</v>
      </c>
      <c r="U28" s="280">
        <f t="shared" ca="1" si="17"/>
        <v>-0.16039736492714185</v>
      </c>
      <c r="V28" s="280">
        <f t="shared" ca="1" si="17"/>
        <v>-0.24325145508689217</v>
      </c>
      <c r="W28" s="280">
        <f t="shared" ca="1" si="17"/>
        <v>-0.34425100986530144</v>
      </c>
      <c r="X28" s="280">
        <f t="shared" ca="1" si="17"/>
        <v>-0.46392688933623083</v>
      </c>
      <c r="Y28" s="280">
        <f t="shared" ca="1" si="17"/>
        <v>-0.60300610336427352</v>
      </c>
      <c r="Z28" s="280">
        <f t="shared" ca="1" si="17"/>
        <v>-0.76212095104841604</v>
      </c>
      <c r="AA28" s="280">
        <f t="shared" ca="1" si="17"/>
        <v>-0.94192426395310402</v>
      </c>
      <c r="AB28" s="280">
        <f t="shared" ca="1" si="17"/>
        <v>-1.1430899972068795</v>
      </c>
      <c r="AC28" s="280">
        <f t="shared" ca="1" si="17"/>
        <v>-1.3663140605112383</v>
      </c>
      <c r="AD28" s="195"/>
      <c r="AE28" s="195"/>
      <c r="AF28" s="195"/>
      <c r="AG28" s="195"/>
      <c r="AH28" s="195"/>
      <c r="AI28" s="195"/>
      <c r="AJ28" s="195"/>
      <c r="AK28" s="195"/>
    </row>
    <row r="29" spans="1:37" x14ac:dyDescent="0.3">
      <c r="C29" s="93" t="s">
        <v>148</v>
      </c>
      <c r="D29" s="93"/>
      <c r="E29" s="208">
        <f t="shared" si="8"/>
        <v>0</v>
      </c>
      <c r="F29" s="185"/>
      <c r="G29" s="206">
        <f t="shared" ref="G29" si="18">SUM(R29:AC29)</f>
        <v>0</v>
      </c>
      <c r="H29" s="207">
        <f t="shared" ref="H29" si="19">SUM(V29:Y29)</f>
        <v>0</v>
      </c>
      <c r="I29" s="207">
        <f t="shared" ref="I29" si="20">SUM(Z29:AC29)</f>
        <v>0</v>
      </c>
      <c r="J29" s="207"/>
      <c r="K29" s="207"/>
      <c r="L29" s="185"/>
      <c r="M29" s="185"/>
      <c r="N29" s="185"/>
      <c r="O29" s="185"/>
      <c r="P29" s="186"/>
      <c r="Q29" s="168"/>
      <c r="R29" s="281"/>
      <c r="S29" s="281"/>
      <c r="T29" s="281"/>
      <c r="U29" s="281"/>
      <c r="V29" s="281"/>
      <c r="W29" s="281"/>
      <c r="X29" s="281"/>
      <c r="Y29" s="281"/>
      <c r="Z29" s="281"/>
      <c r="AA29" s="281"/>
      <c r="AB29" s="281"/>
      <c r="AC29" s="281"/>
      <c r="AD29" s="200"/>
      <c r="AE29" s="200"/>
      <c r="AF29" s="200"/>
      <c r="AG29" s="200"/>
      <c r="AH29" s="200"/>
      <c r="AI29" s="200"/>
      <c r="AJ29" s="200"/>
      <c r="AK29" s="200"/>
    </row>
    <row r="30" spans="1:37" x14ac:dyDescent="0.3">
      <c r="C30" s="30" t="s">
        <v>147</v>
      </c>
      <c r="E30" s="203">
        <f ca="1">MAX(R30:AC30)</f>
        <v>290.97171790470048</v>
      </c>
      <c r="F30" s="182"/>
      <c r="G30" s="204">
        <f ca="1">U30</f>
        <v>49.339602635072858</v>
      </c>
      <c r="H30" s="205">
        <f ca="1">Y30</f>
        <v>146.68516717742014</v>
      </c>
      <c r="I30" s="205">
        <f ca="1">AC30</f>
        <v>290.97171790470048</v>
      </c>
      <c r="J30" s="205"/>
      <c r="K30" s="205"/>
      <c r="L30" s="182"/>
      <c r="M30" s="182"/>
      <c r="N30" s="182"/>
      <c r="O30" s="182"/>
      <c r="P30" s="184"/>
      <c r="Q30" s="201">
        <v>0</v>
      </c>
      <c r="R30" s="280">
        <f t="shared" ref="R30:AC30" si="21">SUM(R23:R29)</f>
        <v>12.375</v>
      </c>
      <c r="S30" s="280">
        <f t="shared" si="21"/>
        <v>24.75</v>
      </c>
      <c r="T30" s="280">
        <f t="shared" si="21"/>
        <v>37.125</v>
      </c>
      <c r="U30" s="280">
        <f t="shared" ca="1" si="21"/>
        <v>49.339602635072858</v>
      </c>
      <c r="V30" s="280">
        <f t="shared" ca="1" si="21"/>
        <v>73.846351179985959</v>
      </c>
      <c r="W30" s="280">
        <f t="shared" ca="1" si="21"/>
        <v>98.252100170120656</v>
      </c>
      <c r="X30" s="280">
        <f t="shared" ca="1" si="21"/>
        <v>122.53817328078442</v>
      </c>
      <c r="Y30" s="280">
        <f t="shared" ca="1" si="21"/>
        <v>146.68516717742014</v>
      </c>
      <c r="Z30" s="280">
        <f t="shared" ca="1" si="21"/>
        <v>183.04804622637172</v>
      </c>
      <c r="AA30" s="280">
        <f t="shared" ca="1" si="21"/>
        <v>219.23112196241863</v>
      </c>
      <c r="AB30" s="280">
        <f t="shared" ca="1" si="21"/>
        <v>255.21303196521174</v>
      </c>
      <c r="AC30" s="280">
        <f t="shared" ca="1" si="21"/>
        <v>290.97171790470048</v>
      </c>
      <c r="AD30" s="199"/>
      <c r="AE30" s="199"/>
      <c r="AF30" s="199"/>
      <c r="AG30" s="199"/>
      <c r="AH30" s="199"/>
      <c r="AI30" s="199"/>
      <c r="AJ30" s="199"/>
      <c r="AK30" s="199"/>
    </row>
    <row r="31" spans="1:37" x14ac:dyDescent="0.3">
      <c r="C31" s="30"/>
      <c r="E31" s="172"/>
      <c r="F31" s="182"/>
      <c r="G31" s="183"/>
      <c r="H31" s="182"/>
      <c r="I31" s="182"/>
      <c r="J31" s="182"/>
      <c r="K31" s="182"/>
      <c r="L31" s="182"/>
      <c r="M31" s="182"/>
      <c r="N31" s="182"/>
      <c r="O31" s="182"/>
      <c r="P31" s="184"/>
      <c r="Q31" s="162"/>
      <c r="R31" s="277"/>
      <c r="S31" s="277"/>
      <c r="T31" s="277"/>
      <c r="U31" s="277"/>
      <c r="V31" s="277"/>
      <c r="W31" s="277"/>
      <c r="X31" s="277"/>
      <c r="Y31" s="277"/>
      <c r="Z31" s="277"/>
      <c r="AA31" s="277"/>
      <c r="AB31" s="277"/>
      <c r="AC31" s="277"/>
      <c r="AD31" s="162"/>
      <c r="AE31" s="162"/>
      <c r="AF31" s="162"/>
      <c r="AG31" s="162"/>
      <c r="AH31" s="162"/>
      <c r="AI31" s="162"/>
      <c r="AJ31" s="162"/>
      <c r="AK31" s="162"/>
    </row>
    <row r="32" spans="1:37" x14ac:dyDescent="0.3">
      <c r="C32" s="30" t="s">
        <v>100</v>
      </c>
      <c r="E32" s="172"/>
      <c r="F32" s="182"/>
      <c r="G32" s="183"/>
      <c r="H32" s="182"/>
      <c r="I32" s="182"/>
      <c r="J32" s="182"/>
      <c r="K32" s="182"/>
      <c r="L32" s="182"/>
      <c r="M32" s="182"/>
      <c r="N32" s="182"/>
      <c r="O32" s="182"/>
      <c r="P32" s="184"/>
      <c r="Q32" s="162"/>
      <c r="R32" s="280">
        <f>R30-Q30</f>
        <v>12.375</v>
      </c>
      <c r="S32" s="280">
        <f t="shared" ref="S32:AC32" si="22">S30-R30</f>
        <v>12.375</v>
      </c>
      <c r="T32" s="280">
        <f t="shared" si="22"/>
        <v>12.375</v>
      </c>
      <c r="U32" s="280">
        <f t="shared" ca="1" si="22"/>
        <v>12.214602635072858</v>
      </c>
      <c r="V32" s="280">
        <f t="shared" ca="1" si="22"/>
        <v>24.506748544913101</v>
      </c>
      <c r="W32" s="280">
        <f t="shared" ca="1" si="22"/>
        <v>24.405748990134697</v>
      </c>
      <c r="X32" s="280">
        <f t="shared" ca="1" si="22"/>
        <v>24.286073110663764</v>
      </c>
      <c r="Y32" s="280">
        <f t="shared" ca="1" si="22"/>
        <v>24.14699389663572</v>
      </c>
      <c r="Z32" s="280">
        <f t="shared" ca="1" si="22"/>
        <v>36.362879048951584</v>
      </c>
      <c r="AA32" s="280">
        <f t="shared" ca="1" si="22"/>
        <v>36.183075736046902</v>
      </c>
      <c r="AB32" s="280">
        <f t="shared" ca="1" si="22"/>
        <v>35.981910002793114</v>
      </c>
      <c r="AC32" s="280">
        <f t="shared" ca="1" si="22"/>
        <v>35.758685939488743</v>
      </c>
      <c r="AD32" s="197"/>
      <c r="AE32" s="197"/>
      <c r="AF32" s="197"/>
      <c r="AG32" s="197"/>
      <c r="AH32" s="197"/>
      <c r="AI32" s="197"/>
      <c r="AJ32" s="197"/>
      <c r="AK32" s="197"/>
    </row>
    <row r="33" spans="3:37" x14ac:dyDescent="0.3">
      <c r="C33" s="30"/>
      <c r="E33" s="172"/>
      <c r="F33" s="182"/>
      <c r="G33" s="183"/>
      <c r="H33" s="182"/>
      <c r="I33" s="182"/>
      <c r="J33" s="182"/>
      <c r="K33" s="182"/>
      <c r="L33" s="182"/>
      <c r="M33" s="182"/>
      <c r="N33" s="182"/>
      <c r="O33" s="182"/>
      <c r="P33" s="184"/>
      <c r="Q33" s="162"/>
      <c r="R33" s="277"/>
      <c r="S33" s="277"/>
      <c r="T33" s="277"/>
      <c r="U33" s="277"/>
      <c r="V33" s="277"/>
      <c r="W33" s="277"/>
      <c r="X33" s="277"/>
      <c r="Y33" s="277"/>
      <c r="Z33" s="277"/>
      <c r="AA33" s="277"/>
      <c r="AB33" s="277"/>
      <c r="AC33" s="277"/>
      <c r="AD33" s="162"/>
      <c r="AE33" s="162"/>
      <c r="AF33" s="162"/>
      <c r="AG33" s="162"/>
      <c r="AH33" s="162"/>
      <c r="AI33" s="162"/>
      <c r="AJ33" s="162"/>
      <c r="AK33" s="162"/>
    </row>
    <row r="34" spans="3:37" x14ac:dyDescent="0.3">
      <c r="C34" s="30"/>
      <c r="E34" s="172"/>
      <c r="F34" s="182"/>
      <c r="G34" s="183"/>
      <c r="H34" s="182"/>
      <c r="I34" s="182"/>
      <c r="J34" s="182"/>
      <c r="K34" s="182"/>
      <c r="L34" s="182"/>
      <c r="M34" s="182"/>
      <c r="N34" s="182"/>
      <c r="O34" s="182"/>
      <c r="P34" s="184"/>
      <c r="Q34" s="162"/>
      <c r="R34" s="277"/>
      <c r="S34" s="277"/>
      <c r="T34" s="277"/>
      <c r="U34" s="277"/>
      <c r="V34" s="277"/>
      <c r="W34" s="277"/>
      <c r="X34" s="277"/>
      <c r="Y34" s="277"/>
      <c r="Z34" s="277"/>
      <c r="AA34" s="277"/>
      <c r="AB34" s="277"/>
      <c r="AC34" s="277"/>
      <c r="AD34" s="162"/>
      <c r="AE34" s="162"/>
      <c r="AF34" s="162"/>
      <c r="AG34" s="162"/>
      <c r="AH34" s="162"/>
      <c r="AI34" s="162"/>
      <c r="AJ34" s="162"/>
      <c r="AK34" s="162"/>
    </row>
    <row r="35" spans="3:37" x14ac:dyDescent="0.3">
      <c r="C35" s="31" t="s">
        <v>154</v>
      </c>
      <c r="E35" s="172"/>
      <c r="F35" s="182"/>
      <c r="G35" s="183"/>
      <c r="H35" s="182"/>
      <c r="I35" s="182"/>
      <c r="J35" s="182"/>
      <c r="K35" s="182"/>
      <c r="L35" s="182"/>
      <c r="M35" s="182"/>
      <c r="N35" s="182"/>
      <c r="O35" s="182"/>
      <c r="P35" s="184"/>
      <c r="Q35" s="162"/>
      <c r="R35" s="277"/>
      <c r="S35" s="277"/>
      <c r="T35" s="277"/>
      <c r="U35" s="277"/>
      <c r="V35" s="277"/>
      <c r="W35" s="277"/>
      <c r="X35" s="277"/>
      <c r="Y35" s="277"/>
      <c r="Z35" s="277"/>
      <c r="AA35" s="277"/>
      <c r="AB35" s="277"/>
      <c r="AC35" s="277"/>
      <c r="AD35" s="162"/>
      <c r="AE35" s="162"/>
      <c r="AF35" s="162"/>
      <c r="AG35" s="162"/>
      <c r="AH35" s="162"/>
      <c r="AI35" s="162"/>
      <c r="AJ35" s="162"/>
      <c r="AK35" s="162"/>
    </row>
    <row r="36" spans="3:37" x14ac:dyDescent="0.3">
      <c r="C36" s="30" t="s">
        <v>155</v>
      </c>
      <c r="E36" s="172"/>
      <c r="F36" s="182"/>
      <c r="G36" s="183"/>
      <c r="H36" s="182"/>
      <c r="I36" s="182"/>
      <c r="J36" s="182"/>
      <c r="K36" s="182"/>
      <c r="L36" s="182"/>
      <c r="M36" s="182"/>
      <c r="N36" s="182"/>
      <c r="O36" s="182"/>
      <c r="P36" s="184"/>
      <c r="Q36" s="162"/>
      <c r="R36" s="277">
        <f>Q40</f>
        <v>0</v>
      </c>
      <c r="S36" s="277">
        <f t="shared" ref="S36:AC36" si="23">R40</f>
        <v>9.9</v>
      </c>
      <c r="T36" s="277">
        <f t="shared" si="23"/>
        <v>20.171250000000001</v>
      </c>
      <c r="U36" s="277">
        <f t="shared" si="23"/>
        <v>30.827671875</v>
      </c>
      <c r="V36" s="277">
        <f t="shared" ca="1" si="23"/>
        <v>41.755391678370785</v>
      </c>
      <c r="W36" s="277">
        <f t="shared" ca="1" si="23"/>
        <v>62.926617702240179</v>
      </c>
      <c r="X36" s="277">
        <f t="shared" ca="1" si="23"/>
        <v>84.810965058181949</v>
      </c>
      <c r="Y36" s="277">
        <f t="shared" ca="1" si="23"/>
        <v>107.42023473639478</v>
      </c>
      <c r="Z36" s="277">
        <f t="shared" ca="1" si="23"/>
        <v>130.76608865631815</v>
      </c>
      <c r="AA36" s="277">
        <f t="shared" ca="1" si="23"/>
        <v>164.76012022009135</v>
      </c>
      <c r="AB36" s="277">
        <f t="shared" ca="1" si="23"/>
        <v>199.8850853171823</v>
      </c>
      <c r="AC36" s="277">
        <f t="shared" ca="1" si="23"/>
        <v>236.16630401881113</v>
      </c>
      <c r="AD36" s="162"/>
      <c r="AE36" s="162"/>
      <c r="AF36" s="162"/>
      <c r="AG36" s="162"/>
      <c r="AH36" s="162"/>
      <c r="AI36" s="162"/>
      <c r="AJ36" s="162"/>
      <c r="AK36" s="162"/>
    </row>
    <row r="37" spans="3:37" x14ac:dyDescent="0.3">
      <c r="C37" s="30" t="s">
        <v>202</v>
      </c>
      <c r="E37" s="172"/>
      <c r="F37" s="182"/>
      <c r="G37" s="183"/>
      <c r="H37" s="182"/>
      <c r="I37" s="182"/>
      <c r="J37" s="182"/>
      <c r="K37" s="182"/>
      <c r="L37" s="182"/>
      <c r="M37" s="182"/>
      <c r="N37" s="182"/>
      <c r="O37" s="182"/>
      <c r="P37" s="184"/>
      <c r="Q37" s="162"/>
      <c r="R37" s="277">
        <f>(R30-Q30)*Assumptions!$E$37</f>
        <v>9.9</v>
      </c>
      <c r="S37" s="277">
        <f>(S30-R30)*Assumptions!$E$37</f>
        <v>9.9</v>
      </c>
      <c r="T37" s="277">
        <f>(T30-S30)*Assumptions!$E$37</f>
        <v>9.9</v>
      </c>
      <c r="U37" s="277">
        <f ca="1">(U30-T30)*Assumptions!$E$37</f>
        <v>9.7716821080582861</v>
      </c>
      <c r="V37" s="277">
        <f ca="1">(V30-U30)*Assumptions!$E$37</f>
        <v>19.605398835930483</v>
      </c>
      <c r="W37" s="277">
        <f ca="1">(W30-V30)*Assumptions!$E$37</f>
        <v>19.524599192107758</v>
      </c>
      <c r="X37" s="277">
        <f ca="1">(X30-W30)*Assumptions!$E$37</f>
        <v>19.428858488531013</v>
      </c>
      <c r="Y37" s="277">
        <f ca="1">(Y30-X30)*Assumptions!$E$37</f>
        <v>19.317595117308578</v>
      </c>
      <c r="Z37" s="277">
        <f ca="1">(Z30-Y30)*Assumptions!$E$37</f>
        <v>29.090303239161269</v>
      </c>
      <c r="AA37" s="277">
        <f ca="1">(AA30-Z30)*Assumptions!$E$37</f>
        <v>28.946460588837525</v>
      </c>
      <c r="AB37" s="277">
        <f ca="1">(AB30-AA30)*Assumptions!$E$37</f>
        <v>28.785528002234493</v>
      </c>
      <c r="AC37" s="277">
        <f ca="1">(AC30-AB30)*Assumptions!$E$37</f>
        <v>28.606948751590995</v>
      </c>
      <c r="AD37" s="162"/>
      <c r="AE37" s="162"/>
      <c r="AF37" s="162"/>
      <c r="AG37" s="162"/>
      <c r="AH37" s="162"/>
      <c r="AI37" s="162"/>
      <c r="AJ37" s="162"/>
      <c r="AK37" s="162"/>
    </row>
    <row r="38" spans="3:37" x14ac:dyDescent="0.3">
      <c r="C38" s="30" t="s">
        <v>156</v>
      </c>
      <c r="E38" s="172"/>
      <c r="F38" s="182"/>
      <c r="G38" s="183"/>
      <c r="H38" s="182"/>
      <c r="I38" s="182"/>
      <c r="J38" s="182"/>
      <c r="K38" s="182"/>
      <c r="L38" s="182"/>
      <c r="M38" s="182"/>
      <c r="N38" s="182"/>
      <c r="O38" s="182"/>
      <c r="P38" s="184"/>
      <c r="Q38" s="162"/>
      <c r="R38" s="277">
        <f>IF(ISERROR(Q40*Assumptions!$E$41/Assumptions!$E$25),0,Q40*(Assumptions!$E$41/Assumptions!$E$25))</f>
        <v>0</v>
      </c>
      <c r="S38" s="277">
        <f>IF(ISERROR(R40*Assumptions!$E$41/Assumptions!$E$25),0,R40*(Assumptions!$E$41/Assumptions!$E$25))</f>
        <v>0.37125000000000002</v>
      </c>
      <c r="T38" s="277">
        <f>IF(ISERROR(S40*Assumptions!$E$41/Assumptions!$E$25),0,S40*(Assumptions!$E$41/Assumptions!$E$25))</f>
        <v>0.75642187500000002</v>
      </c>
      <c r="U38" s="277">
        <f>IF(ISERROR(T40*Assumptions!$E$41/Assumptions!$E$25),0,T40*(Assumptions!$E$41/Assumptions!$E$25))</f>
        <v>1.1560376953125</v>
      </c>
      <c r="V38" s="277">
        <f ca="1">IF(ISERROR(U40*Assumptions!$E$41/Assumptions!$E$25),0,U40*(Assumptions!$E$41/Assumptions!$E$25))</f>
        <v>1.5658271879389043</v>
      </c>
      <c r="W38" s="277">
        <f ca="1">IF(ISERROR(V40*Assumptions!$E$41/Assumptions!$E$25),0,V40*(Assumptions!$E$41/Assumptions!$E$25))</f>
        <v>2.3597481638340065</v>
      </c>
      <c r="X38" s="277">
        <f ca="1">IF(ISERROR(W40*Assumptions!$E$41/Assumptions!$E$25),0,W40*(Assumptions!$E$41/Assumptions!$E$25))</f>
        <v>3.180411189681823</v>
      </c>
      <c r="Y38" s="277">
        <f ca="1">IF(ISERROR(X40*Assumptions!$E$41/Assumptions!$E$25),0,X40*(Assumptions!$E$41/Assumptions!$E$25))</f>
        <v>4.0282588026148041</v>
      </c>
      <c r="Z38" s="277">
        <f ca="1">IF(ISERROR(Y40*Assumptions!$E$41/Assumptions!$E$25),0,Y40*(Assumptions!$E$41/Assumptions!$E$25))</f>
        <v>4.9037283246119303</v>
      </c>
      <c r="AA38" s="277">
        <f ca="1">IF(ISERROR(Z40*Assumptions!$E$41/Assumptions!$E$25),0,Z40*(Assumptions!$E$41/Assumptions!$E$25))</f>
        <v>6.1785045082534253</v>
      </c>
      <c r="AB38" s="277">
        <f ca="1">IF(ISERROR(AA40*Assumptions!$E$41/Assumptions!$E$25),0,AA40*(Assumptions!$E$41/Assumptions!$E$25))</f>
        <v>7.495690699394336</v>
      </c>
      <c r="AC38" s="277">
        <f ca="1">IF(ISERROR(AB40*Assumptions!$E$41/Assumptions!$E$25),0,AB40*(Assumptions!$E$41/Assumptions!$E$25))</f>
        <v>8.8562364007054164</v>
      </c>
      <c r="AD38" s="162"/>
      <c r="AE38" s="162"/>
      <c r="AF38" s="162"/>
      <c r="AG38" s="162"/>
      <c r="AH38" s="162"/>
      <c r="AI38" s="162"/>
      <c r="AJ38" s="162"/>
      <c r="AK38" s="162"/>
    </row>
    <row r="39" spans="3:37" x14ac:dyDescent="0.3">
      <c r="C39" s="93" t="s">
        <v>157</v>
      </c>
      <c r="D39" s="309"/>
      <c r="E39" s="328"/>
      <c r="F39" s="329"/>
      <c r="G39" s="330"/>
      <c r="H39" s="329"/>
      <c r="I39" s="329"/>
      <c r="J39" s="329"/>
      <c r="K39" s="329"/>
      <c r="L39" s="329"/>
      <c r="M39" s="329"/>
      <c r="N39" s="329"/>
      <c r="O39" s="329"/>
      <c r="P39" s="331"/>
      <c r="Q39" s="317"/>
      <c r="R39" s="332"/>
      <c r="S39" s="332"/>
      <c r="T39" s="332"/>
      <c r="U39" s="332"/>
      <c r="V39" s="332"/>
      <c r="W39" s="332"/>
      <c r="X39" s="332"/>
      <c r="Y39" s="332"/>
      <c r="Z39" s="332"/>
      <c r="AA39" s="332"/>
      <c r="AB39" s="332"/>
      <c r="AC39" s="332"/>
      <c r="AD39" s="162"/>
      <c r="AE39" s="162"/>
      <c r="AF39" s="162"/>
      <c r="AG39" s="162"/>
      <c r="AH39" s="162"/>
      <c r="AI39" s="162"/>
      <c r="AJ39" s="162"/>
      <c r="AK39" s="162"/>
    </row>
    <row r="40" spans="3:37" x14ac:dyDescent="0.3">
      <c r="C40" s="30" t="s">
        <v>158</v>
      </c>
      <c r="E40" s="172"/>
      <c r="F40" s="182"/>
      <c r="G40" s="183"/>
      <c r="H40" s="182"/>
      <c r="I40" s="182"/>
      <c r="J40" s="182"/>
      <c r="K40" s="182"/>
      <c r="L40" s="182"/>
      <c r="M40" s="182"/>
      <c r="N40" s="182"/>
      <c r="O40" s="182"/>
      <c r="P40" s="184"/>
      <c r="Q40" s="201">
        <v>0</v>
      </c>
      <c r="R40" s="277">
        <f>SUM(R36:R39)</f>
        <v>9.9</v>
      </c>
      <c r="S40" s="277">
        <f t="shared" ref="S40:AC40" si="24">SUM(S36:S39)</f>
        <v>20.171250000000001</v>
      </c>
      <c r="T40" s="277">
        <f t="shared" si="24"/>
        <v>30.827671875</v>
      </c>
      <c r="U40" s="277">
        <f t="shared" ca="1" si="24"/>
        <v>41.755391678370785</v>
      </c>
      <c r="V40" s="277">
        <f t="shared" ca="1" si="24"/>
        <v>62.926617702240179</v>
      </c>
      <c r="W40" s="277">
        <f t="shared" ca="1" si="24"/>
        <v>84.810965058181949</v>
      </c>
      <c r="X40" s="277">
        <f t="shared" ca="1" si="24"/>
        <v>107.42023473639478</v>
      </c>
      <c r="Y40" s="277">
        <f t="shared" ca="1" si="24"/>
        <v>130.76608865631815</v>
      </c>
      <c r="Z40" s="277">
        <f t="shared" ca="1" si="24"/>
        <v>164.76012022009135</v>
      </c>
      <c r="AA40" s="277">
        <f t="shared" ca="1" si="24"/>
        <v>199.8850853171823</v>
      </c>
      <c r="AB40" s="277">
        <f t="shared" ca="1" si="24"/>
        <v>236.16630401881113</v>
      </c>
      <c r="AC40" s="277">
        <f t="shared" ca="1" si="24"/>
        <v>273.62948917110754</v>
      </c>
      <c r="AD40" s="162"/>
      <c r="AE40" s="162"/>
      <c r="AF40" s="162"/>
      <c r="AG40" s="162"/>
      <c r="AH40" s="162"/>
      <c r="AI40" s="162"/>
      <c r="AJ40" s="162"/>
      <c r="AK40" s="162"/>
    </row>
    <row r="41" spans="3:37" x14ac:dyDescent="0.3">
      <c r="C41" s="30"/>
      <c r="E41" s="172"/>
      <c r="F41" s="182"/>
      <c r="G41" s="183"/>
      <c r="H41" s="182"/>
      <c r="I41" s="182"/>
      <c r="J41" s="182"/>
      <c r="K41" s="182"/>
      <c r="L41" s="182"/>
      <c r="M41" s="182"/>
      <c r="N41" s="182"/>
      <c r="O41" s="182"/>
      <c r="P41" s="184"/>
      <c r="Q41" s="162"/>
      <c r="R41" s="277"/>
      <c r="S41" s="277"/>
      <c r="T41" s="277"/>
      <c r="U41" s="277"/>
      <c r="V41" s="277"/>
      <c r="W41" s="277"/>
      <c r="X41" s="277"/>
      <c r="Y41" s="277"/>
      <c r="Z41" s="277"/>
      <c r="AA41" s="277"/>
      <c r="AB41" s="277"/>
      <c r="AC41" s="277"/>
      <c r="AD41" s="162"/>
      <c r="AE41" s="162"/>
      <c r="AF41" s="162"/>
      <c r="AG41" s="162"/>
      <c r="AH41" s="162"/>
      <c r="AI41" s="162"/>
      <c r="AJ41" s="162"/>
      <c r="AK41" s="162"/>
    </row>
    <row r="42" spans="3:37" x14ac:dyDescent="0.3">
      <c r="C42" s="30"/>
      <c r="E42" s="172"/>
      <c r="F42" s="182"/>
      <c r="G42" s="183"/>
      <c r="H42" s="182"/>
      <c r="I42" s="182"/>
      <c r="J42" s="182"/>
      <c r="K42" s="182"/>
      <c r="L42" s="182"/>
      <c r="M42" s="182"/>
      <c r="N42" s="182"/>
      <c r="O42" s="182"/>
      <c r="P42" s="184"/>
      <c r="Q42" s="162"/>
      <c r="R42" s="277"/>
      <c r="S42" s="277"/>
      <c r="T42" s="277"/>
      <c r="U42" s="277"/>
      <c r="V42" s="277"/>
      <c r="W42" s="277"/>
      <c r="X42" s="277"/>
      <c r="Y42" s="277"/>
      <c r="Z42" s="277"/>
      <c r="AA42" s="277"/>
      <c r="AB42" s="277"/>
      <c r="AC42" s="277"/>
      <c r="AD42" s="162"/>
      <c r="AE42" s="162"/>
      <c r="AF42" s="162"/>
      <c r="AG42" s="162"/>
      <c r="AH42" s="162"/>
      <c r="AI42" s="162"/>
      <c r="AJ42" s="162"/>
      <c r="AK42" s="162"/>
    </row>
    <row r="43" spans="3:37" x14ac:dyDescent="0.3">
      <c r="C43" s="30"/>
      <c r="E43" s="172"/>
      <c r="F43" s="182"/>
      <c r="G43" s="183"/>
      <c r="H43" s="182"/>
      <c r="I43" s="182"/>
      <c r="J43" s="182"/>
      <c r="K43" s="182"/>
      <c r="L43" s="182"/>
      <c r="M43" s="182"/>
      <c r="N43" s="182"/>
      <c r="O43" s="182"/>
      <c r="P43" s="184"/>
      <c r="Q43" s="162"/>
      <c r="R43" s="277"/>
      <c r="S43" s="277"/>
      <c r="T43" s="277"/>
      <c r="U43" s="277"/>
      <c r="V43" s="277"/>
      <c r="W43" s="277"/>
      <c r="X43" s="277"/>
      <c r="Y43" s="277"/>
      <c r="Z43" s="277"/>
      <c r="AA43" s="277"/>
      <c r="AB43" s="277"/>
      <c r="AC43" s="277"/>
      <c r="AD43" s="162"/>
      <c r="AE43" s="162"/>
      <c r="AF43" s="162"/>
      <c r="AG43" s="162"/>
      <c r="AH43" s="162"/>
      <c r="AI43" s="162"/>
      <c r="AJ43" s="162"/>
      <c r="AK43" s="162"/>
    </row>
    <row r="44" spans="3:37" x14ac:dyDescent="0.3">
      <c r="C44" s="31" t="s">
        <v>159</v>
      </c>
      <c r="E44" s="172"/>
      <c r="F44" s="182"/>
      <c r="G44" s="183"/>
      <c r="H44" s="182"/>
      <c r="I44" s="182"/>
      <c r="J44" s="182"/>
      <c r="K44" s="182"/>
      <c r="L44" s="182"/>
      <c r="M44" s="182"/>
      <c r="N44" s="182"/>
      <c r="O44" s="182"/>
      <c r="P44" s="184"/>
      <c r="Q44" s="162"/>
      <c r="R44" s="277"/>
      <c r="S44" s="277"/>
      <c r="T44" s="277"/>
      <c r="U44" s="277"/>
      <c r="V44" s="277"/>
      <c r="W44" s="277"/>
      <c r="X44" s="277"/>
      <c r="Y44" s="277"/>
      <c r="Z44" s="277"/>
      <c r="AA44" s="277"/>
      <c r="AB44" s="277"/>
      <c r="AC44" s="277"/>
      <c r="AD44" s="162"/>
      <c r="AE44" s="162"/>
      <c r="AF44" s="162"/>
      <c r="AG44" s="162"/>
      <c r="AH44" s="162"/>
      <c r="AI44" s="162"/>
      <c r="AJ44" s="162"/>
      <c r="AK44" s="162"/>
    </row>
    <row r="45" spans="3:37" x14ac:dyDescent="0.3">
      <c r="C45" s="30" t="s">
        <v>220</v>
      </c>
      <c r="E45" s="172"/>
      <c r="F45" s="182"/>
      <c r="G45" s="183"/>
      <c r="H45" s="182"/>
      <c r="I45" s="182"/>
      <c r="J45" s="182"/>
      <c r="K45" s="182"/>
      <c r="L45" s="182"/>
      <c r="M45" s="182"/>
      <c r="N45" s="182"/>
      <c r="O45" s="182"/>
      <c r="P45" s="184"/>
      <c r="Q45" s="162"/>
      <c r="R45" s="326">
        <v>0</v>
      </c>
      <c r="S45" s="326">
        <v>0</v>
      </c>
      <c r="T45" s="326">
        <v>0</v>
      </c>
      <c r="U45" s="277">
        <f ca="1">AVERAGE(R40:U40)*Assumptions!$E$45/Assumptions!$E$47</f>
        <v>0.16039736492714185</v>
      </c>
      <c r="V45" s="277">
        <f ca="1">AVERAGE(S40:V40)*Assumptions!$E$45/Assumptions!$E$47</f>
        <v>0.24325145508689217</v>
      </c>
      <c r="W45" s="277">
        <f ca="1">AVERAGE(T40:W40)*Assumptions!$E$45/Assumptions!$E$47</f>
        <v>0.34425100986530144</v>
      </c>
      <c r="X45" s="277">
        <f ca="1">AVERAGE(U40:X40)*Assumptions!$E$45/Assumptions!$E$47</f>
        <v>0.46392688933623083</v>
      </c>
      <c r="Y45" s="277">
        <f ca="1">AVERAGE(V40:Y40)*Assumptions!$E$45/Assumptions!$E$47</f>
        <v>0.60300610336427352</v>
      </c>
      <c r="Z45" s="277">
        <f ca="1">AVERAGE(W40:Z40)*Assumptions!$E$45/Assumptions!$E$47</f>
        <v>0.76212095104841604</v>
      </c>
      <c r="AA45" s="277">
        <f ca="1">AVERAGE(X40:AA40)*Assumptions!$E$45/Assumptions!$E$47</f>
        <v>0.94192426395310402</v>
      </c>
      <c r="AB45" s="277">
        <f ca="1">AVERAGE(Y40:AB40)*Assumptions!$E$45/Assumptions!$E$47</f>
        <v>1.1430899972068795</v>
      </c>
      <c r="AC45" s="277">
        <f ca="1">AVERAGE(Z40:AC40)*Assumptions!$E$45/Assumptions!$E$47</f>
        <v>1.3663140605112383</v>
      </c>
      <c r="AD45" s="162"/>
      <c r="AE45" s="162"/>
      <c r="AF45" s="162"/>
      <c r="AG45" s="162"/>
      <c r="AH45" s="162"/>
      <c r="AI45" s="162"/>
      <c r="AJ45" s="162"/>
      <c r="AK45" s="162"/>
    </row>
    <row r="46" spans="3:37" x14ac:dyDescent="0.3">
      <c r="C46" s="30"/>
      <c r="E46" s="172"/>
      <c r="F46" s="182"/>
      <c r="G46" s="183"/>
      <c r="H46" s="182"/>
      <c r="I46" s="182"/>
      <c r="J46" s="182"/>
      <c r="K46" s="182"/>
      <c r="L46" s="182"/>
      <c r="M46" s="182"/>
      <c r="N46" s="182"/>
      <c r="O46" s="182"/>
      <c r="P46" s="184"/>
      <c r="Q46" s="162"/>
      <c r="R46" s="277"/>
      <c r="S46" s="277"/>
      <c r="T46" s="277"/>
      <c r="U46" s="277"/>
      <c r="V46" s="277"/>
      <c r="W46" s="277"/>
      <c r="X46" s="277"/>
      <c r="Y46" s="277"/>
      <c r="Z46" s="277"/>
      <c r="AA46" s="277"/>
      <c r="AB46" s="277"/>
      <c r="AC46" s="277"/>
      <c r="AD46" s="162"/>
      <c r="AE46" s="162"/>
      <c r="AF46" s="162"/>
      <c r="AG46" s="162"/>
      <c r="AH46" s="162"/>
      <c r="AI46" s="162"/>
      <c r="AJ46" s="162"/>
      <c r="AK46" s="162"/>
    </row>
    <row r="47" spans="3:37" x14ac:dyDescent="0.3">
      <c r="C47" s="30"/>
      <c r="E47" s="172"/>
      <c r="F47" s="182"/>
      <c r="G47" s="183"/>
      <c r="H47" s="182"/>
      <c r="I47" s="182"/>
      <c r="J47" s="182"/>
      <c r="K47" s="182"/>
      <c r="L47" s="182"/>
      <c r="M47" s="182"/>
      <c r="N47" s="182"/>
      <c r="O47" s="182"/>
      <c r="P47" s="184"/>
      <c r="Q47" s="162"/>
      <c r="R47" s="277"/>
      <c r="S47" s="277"/>
      <c r="T47" s="277"/>
      <c r="U47" s="277"/>
      <c r="V47" s="277"/>
      <c r="W47" s="277"/>
      <c r="X47" s="277"/>
      <c r="Y47" s="277"/>
      <c r="Z47" s="277"/>
      <c r="AA47" s="277"/>
      <c r="AB47" s="277"/>
      <c r="AC47" s="277"/>
      <c r="AD47" s="162"/>
      <c r="AE47" s="162"/>
      <c r="AF47" s="162"/>
      <c r="AG47" s="162"/>
      <c r="AH47" s="162"/>
      <c r="AI47" s="162"/>
      <c r="AJ47" s="162"/>
      <c r="AK47" s="162"/>
    </row>
    <row r="48" spans="3:37" x14ac:dyDescent="0.3">
      <c r="C48" s="31" t="s">
        <v>160</v>
      </c>
      <c r="E48" s="172"/>
      <c r="F48" s="182"/>
      <c r="G48" s="183"/>
      <c r="H48" s="182"/>
      <c r="I48" s="182"/>
      <c r="J48" s="182"/>
      <c r="K48" s="182"/>
      <c r="L48" s="182"/>
      <c r="M48" s="182"/>
      <c r="N48" s="182"/>
      <c r="O48" s="182"/>
      <c r="P48" s="184"/>
      <c r="Q48" s="162"/>
      <c r="R48" s="277"/>
      <c r="S48" s="277"/>
      <c r="T48" s="277"/>
      <c r="U48" s="277"/>
      <c r="V48" s="277"/>
      <c r="W48" s="277"/>
      <c r="X48" s="277"/>
      <c r="Y48" s="277"/>
      <c r="Z48" s="277"/>
      <c r="AA48" s="277"/>
      <c r="AB48" s="277"/>
      <c r="AC48" s="277"/>
      <c r="AD48" s="162"/>
      <c r="AE48" s="162"/>
      <c r="AF48" s="162"/>
      <c r="AG48" s="162"/>
      <c r="AH48" s="162"/>
      <c r="AI48" s="162"/>
      <c r="AJ48" s="162"/>
      <c r="AK48" s="162"/>
    </row>
    <row r="49" spans="3:37" x14ac:dyDescent="0.3">
      <c r="C49" s="30" t="s">
        <v>161</v>
      </c>
      <c r="E49" s="172">
        <f>Q55</f>
        <v>0</v>
      </c>
      <c r="F49" s="182"/>
      <c r="G49" s="183"/>
      <c r="H49" s="182"/>
      <c r="I49" s="182"/>
      <c r="J49" s="182"/>
      <c r="K49" s="182"/>
      <c r="L49" s="182"/>
      <c r="M49" s="182"/>
      <c r="N49" s="182"/>
      <c r="O49" s="182"/>
      <c r="P49" s="184"/>
      <c r="Q49" s="162"/>
      <c r="R49" s="277">
        <f>Q55</f>
        <v>0</v>
      </c>
      <c r="S49" s="277">
        <f t="shared" ref="S49:AC49" si="25">R55</f>
        <v>2.4749999999999996</v>
      </c>
      <c r="T49" s="277">
        <f t="shared" si="25"/>
        <v>4.6375312499999986</v>
      </c>
      <c r="U49" s="277">
        <f t="shared" si="25"/>
        <v>6.4840784765624981</v>
      </c>
      <c r="V49" s="277">
        <f t="shared" ca="1" si="25"/>
        <v>7.6962024912028424</v>
      </c>
      <c r="W49" s="277">
        <f t="shared" ca="1" si="25"/>
        <v>11.132694241677481</v>
      </c>
      <c r="X49" s="277">
        <f t="shared" ca="1" si="25"/>
        <v>13.832911384581436</v>
      </c>
      <c r="Y49" s="277">
        <f t="shared" ca="1" si="25"/>
        <v>15.77267199364343</v>
      </c>
      <c r="Z49" s="277">
        <f t="shared" ca="1" si="25"/>
        <v>16.375656445225683</v>
      </c>
      <c r="AA49" s="277">
        <f t="shared" ca="1" si="25"/>
        <v>19.188919531806999</v>
      </c>
      <c r="AB49" s="277">
        <f t="shared" ca="1" si="25"/>
        <v>20.854049341361499</v>
      </c>
      <c r="AC49" s="277">
        <f t="shared" ca="1" si="25"/>
        <v>21.341711545278422</v>
      </c>
      <c r="AD49" s="162"/>
      <c r="AE49" s="162"/>
      <c r="AF49" s="162"/>
      <c r="AG49" s="162"/>
      <c r="AH49" s="162"/>
      <c r="AI49" s="162"/>
      <c r="AJ49" s="162"/>
      <c r="AK49" s="162"/>
    </row>
    <row r="50" spans="3:37" x14ac:dyDescent="0.3">
      <c r="C50" s="30" t="s">
        <v>165</v>
      </c>
      <c r="E50" s="203">
        <f t="shared" ref="E50:E54" si="26">SUM(R50:AC50)</f>
        <v>59.399999999999984</v>
      </c>
      <c r="F50" s="182"/>
      <c r="G50" s="183"/>
      <c r="H50" s="182"/>
      <c r="I50" s="182"/>
      <c r="J50" s="182"/>
      <c r="K50" s="182"/>
      <c r="L50" s="182"/>
      <c r="M50" s="182"/>
      <c r="N50" s="182"/>
      <c r="O50" s="182"/>
      <c r="P50" s="184"/>
      <c r="Q50" s="162"/>
      <c r="R50" s="277">
        <f>SUM(R24:R25)*(1-Assumptions!$E$37)</f>
        <v>2.4749999999999996</v>
      </c>
      <c r="S50" s="277">
        <f>SUM(S24:S25)*(1-Assumptions!$E$37)</f>
        <v>2.4749999999999996</v>
      </c>
      <c r="T50" s="277">
        <f>SUM(T24:T25)*(1-Assumptions!$E$37)</f>
        <v>2.4749999999999996</v>
      </c>
      <c r="U50" s="277">
        <f>SUM(U24:U25)*(1-Assumptions!$E$37)</f>
        <v>2.4749999999999996</v>
      </c>
      <c r="V50" s="277">
        <f>SUM(V24:V25)*(1-Assumptions!$E$37)</f>
        <v>4.9499999999999993</v>
      </c>
      <c r="W50" s="277">
        <f>SUM(W24:W25)*(1-Assumptions!$E$37)</f>
        <v>4.9499999999999993</v>
      </c>
      <c r="X50" s="277">
        <f>SUM(X24:X25)*(1-Assumptions!$E$37)</f>
        <v>4.9499999999999993</v>
      </c>
      <c r="Y50" s="277">
        <f>SUM(Y24:Y25)*(1-Assumptions!$E$37)</f>
        <v>4.9499999999999993</v>
      </c>
      <c r="Z50" s="277">
        <f>SUM(Z24:Z25)*(1-Assumptions!$E$37)</f>
        <v>7.424999999999998</v>
      </c>
      <c r="AA50" s="277">
        <f>SUM(AA24:AA25)*(1-Assumptions!$E$37)</f>
        <v>7.424999999999998</v>
      </c>
      <c r="AB50" s="277">
        <f>SUM(AB24:AB25)*(1-Assumptions!$E$37)</f>
        <v>7.424999999999998</v>
      </c>
      <c r="AC50" s="277">
        <f>SUM(AC24:AC25)*(1-Assumptions!$E$37)</f>
        <v>7.424999999999998</v>
      </c>
      <c r="AD50" s="162"/>
      <c r="AE50" s="162"/>
      <c r="AF50" s="162"/>
      <c r="AG50" s="162"/>
      <c r="AH50" s="162"/>
      <c r="AI50" s="162"/>
      <c r="AJ50" s="162"/>
      <c r="AK50" s="162"/>
    </row>
    <row r="51" spans="3:37" x14ac:dyDescent="0.3">
      <c r="C51" s="30" t="s">
        <v>179</v>
      </c>
      <c r="E51" s="203">
        <f t="shared" ca="1" si="26"/>
        <v>1.5726535503900783</v>
      </c>
      <c r="F51" s="182"/>
      <c r="G51" s="183"/>
      <c r="H51" s="182"/>
      <c r="I51" s="182"/>
      <c r="J51" s="182"/>
      <c r="K51" s="182"/>
      <c r="L51" s="182"/>
      <c r="M51" s="182"/>
      <c r="N51" s="182"/>
      <c r="O51" s="182"/>
      <c r="P51" s="184"/>
      <c r="Q51" s="162"/>
      <c r="R51" s="277">
        <f>R49*(Assumptions!$E$39/Assumptions!$E$25)</f>
        <v>0</v>
      </c>
      <c r="S51" s="277">
        <f>S49*(Assumptions!$E$39/Assumptions!$E$25)</f>
        <v>2.7843749999999994E-2</v>
      </c>
      <c r="T51" s="277">
        <f>T49*(Assumptions!$E$39/Assumptions!$E$25)</f>
        <v>5.2172226562499979E-2</v>
      </c>
      <c r="U51" s="277">
        <f>U49*(Assumptions!$E$39/Assumptions!$E$25)</f>
        <v>7.2945882861328096E-2</v>
      </c>
      <c r="V51" s="277">
        <f ca="1">V49*(Assumptions!$E$39/Assumptions!$E$25)</f>
        <v>8.6582278026031967E-2</v>
      </c>
      <c r="W51" s="277">
        <f ca="1">W49*(Assumptions!$E$39/Assumptions!$E$25)</f>
        <v>0.12524281021887165</v>
      </c>
      <c r="X51" s="277">
        <f ca="1">X49*(Assumptions!$E$39/Assumptions!$E$25)</f>
        <v>0.15562025307654115</v>
      </c>
      <c r="Y51" s="277">
        <f ca="1">Y49*(Assumptions!$E$39/Assumptions!$E$25)</f>
        <v>0.17744255992848856</v>
      </c>
      <c r="Z51" s="277">
        <f ca="1">Z49*(Assumptions!$E$39/Assumptions!$E$25)</f>
        <v>0.18422613500878893</v>
      </c>
      <c r="AA51" s="277">
        <f ca="1">AA49*(Assumptions!$E$39/Assumptions!$E$25)</f>
        <v>0.21587534473282874</v>
      </c>
      <c r="AB51" s="277">
        <f ca="1">AB49*(Assumptions!$E$39/Assumptions!$E$25)</f>
        <v>0.23460805509031685</v>
      </c>
      <c r="AC51" s="277">
        <f ca="1">AC49*(Assumptions!$E$39/Assumptions!$E$25)</f>
        <v>0.24009425488438224</v>
      </c>
      <c r="AD51" s="162"/>
      <c r="AE51" s="162"/>
      <c r="AF51" s="162"/>
      <c r="AG51" s="162"/>
      <c r="AH51" s="162"/>
      <c r="AI51" s="162"/>
      <c r="AJ51" s="162"/>
      <c r="AK51" s="162"/>
    </row>
    <row r="52" spans="3:37" x14ac:dyDescent="0.3">
      <c r="C52" s="30" t="s">
        <v>166</v>
      </c>
      <c r="E52" s="203">
        <f t="shared" ca="1" si="26"/>
        <v>-33.61609885142812</v>
      </c>
      <c r="F52" s="182"/>
      <c r="G52" s="183"/>
      <c r="H52" s="182"/>
      <c r="I52" s="182"/>
      <c r="J52" s="182"/>
      <c r="K52" s="182"/>
      <c r="L52" s="182"/>
      <c r="M52" s="182"/>
      <c r="N52" s="182"/>
      <c r="O52" s="182"/>
      <c r="P52" s="184"/>
      <c r="Q52" s="162"/>
      <c r="R52" s="277">
        <f t="shared" ref="R52:AC52" si="27">-R26</f>
        <v>0</v>
      </c>
      <c r="S52" s="277">
        <f t="shared" si="27"/>
        <v>-0.34031250000000002</v>
      </c>
      <c r="T52" s="277">
        <f t="shared" si="27"/>
        <v>-0.68062500000000004</v>
      </c>
      <c r="U52" s="277">
        <f t="shared" si="27"/>
        <v>-1.0209375000000001</v>
      </c>
      <c r="V52" s="277">
        <f t="shared" ca="1" si="27"/>
        <v>-1.3568390724645036</v>
      </c>
      <c r="W52" s="277">
        <f t="shared" ca="1" si="27"/>
        <v>-2.0307746574496139</v>
      </c>
      <c r="X52" s="277">
        <f t="shared" ca="1" si="27"/>
        <v>-2.7019327546783178</v>
      </c>
      <c r="Y52" s="277">
        <f t="shared" ca="1" si="27"/>
        <v>-3.3697997652215714</v>
      </c>
      <c r="Z52" s="277">
        <f t="shared" ca="1" si="27"/>
        <v>-4.0338420973790541</v>
      </c>
      <c r="AA52" s="277">
        <f t="shared" ca="1" si="27"/>
        <v>-5.0338212712252224</v>
      </c>
      <c r="AB52" s="277">
        <f t="shared" ca="1" si="27"/>
        <v>-6.0288558539665127</v>
      </c>
      <c r="AC52" s="277">
        <f t="shared" ca="1" si="27"/>
        <v>-7.018358379043323</v>
      </c>
      <c r="AD52" s="162"/>
      <c r="AE52" s="162"/>
      <c r="AF52" s="162"/>
      <c r="AG52" s="162"/>
      <c r="AH52" s="162"/>
      <c r="AI52" s="162"/>
      <c r="AJ52" s="162"/>
      <c r="AK52" s="162"/>
    </row>
    <row r="53" spans="3:37" x14ac:dyDescent="0.3">
      <c r="C53" s="30" t="s">
        <v>167</v>
      </c>
      <c r="E53" s="203">
        <f t="shared" ca="1" si="26"/>
        <v>-6.0282820952994776</v>
      </c>
      <c r="F53" s="182"/>
      <c r="G53" s="183"/>
      <c r="H53" s="182"/>
      <c r="I53" s="182"/>
      <c r="J53" s="182"/>
      <c r="K53" s="182"/>
      <c r="L53" s="182"/>
      <c r="M53" s="182"/>
      <c r="N53" s="182"/>
      <c r="O53" s="182"/>
      <c r="P53" s="184"/>
      <c r="Q53" s="162"/>
      <c r="R53" s="307">
        <f t="shared" ref="R53:AC53" si="28">-R45</f>
        <v>0</v>
      </c>
      <c r="S53" s="307">
        <f t="shared" si="28"/>
        <v>0</v>
      </c>
      <c r="T53" s="307">
        <f t="shared" si="28"/>
        <v>0</v>
      </c>
      <c r="U53" s="277">
        <f t="shared" ca="1" si="28"/>
        <v>-0.16039736492714185</v>
      </c>
      <c r="V53" s="277">
        <f t="shared" ca="1" si="28"/>
        <v>-0.24325145508689217</v>
      </c>
      <c r="W53" s="277">
        <f t="shared" ca="1" si="28"/>
        <v>-0.34425100986530144</v>
      </c>
      <c r="X53" s="277">
        <f t="shared" ca="1" si="28"/>
        <v>-0.46392688933623083</v>
      </c>
      <c r="Y53" s="277">
        <f t="shared" ca="1" si="28"/>
        <v>-0.60300610336427352</v>
      </c>
      <c r="Z53" s="277">
        <f t="shared" ca="1" si="28"/>
        <v>-0.76212095104841604</v>
      </c>
      <c r="AA53" s="277">
        <f t="shared" ca="1" si="28"/>
        <v>-0.94192426395310402</v>
      </c>
      <c r="AB53" s="277">
        <f t="shared" ca="1" si="28"/>
        <v>-1.1430899972068795</v>
      </c>
      <c r="AC53" s="277">
        <f t="shared" ca="1" si="28"/>
        <v>-1.3663140605112383</v>
      </c>
      <c r="AD53" s="162"/>
      <c r="AE53" s="162"/>
      <c r="AF53" s="162"/>
      <c r="AG53" s="162"/>
      <c r="AH53" s="162"/>
      <c r="AI53" s="162"/>
      <c r="AJ53" s="162"/>
      <c r="AK53" s="162"/>
    </row>
    <row r="54" spans="3:37" x14ac:dyDescent="0.3">
      <c r="C54" s="93" t="s">
        <v>174</v>
      </c>
      <c r="D54" s="93"/>
      <c r="E54" s="208">
        <f t="shared" ca="1" si="26"/>
        <v>-1.8917191406276084</v>
      </c>
      <c r="F54" s="185"/>
      <c r="G54" s="284"/>
      <c r="H54" s="185"/>
      <c r="I54" s="185"/>
      <c r="J54" s="185"/>
      <c r="K54" s="185"/>
      <c r="L54" s="185"/>
      <c r="M54" s="185"/>
      <c r="N54" s="185"/>
      <c r="O54" s="185"/>
      <c r="P54" s="186"/>
      <c r="Q54" s="168"/>
      <c r="R54" s="283">
        <f>-R62</f>
        <v>0</v>
      </c>
      <c r="S54" s="283">
        <f t="shared" ref="S54:AC54" si="29">-S62</f>
        <v>0</v>
      </c>
      <c r="T54" s="283">
        <f t="shared" si="29"/>
        <v>0</v>
      </c>
      <c r="U54" s="317">
        <f t="shared" ca="1" si="29"/>
        <v>-0.15448700329384107</v>
      </c>
      <c r="V54" s="283">
        <f t="shared" si="29"/>
        <v>0</v>
      </c>
      <c r="W54" s="283">
        <f t="shared" si="29"/>
        <v>0</v>
      </c>
      <c r="X54" s="283">
        <f t="shared" si="29"/>
        <v>0</v>
      </c>
      <c r="Y54" s="317">
        <f t="shared" ca="1" si="29"/>
        <v>-0.55165223976038902</v>
      </c>
      <c r="Z54" s="283">
        <f t="shared" si="29"/>
        <v>0</v>
      </c>
      <c r="AA54" s="283">
        <f t="shared" si="29"/>
        <v>0</v>
      </c>
      <c r="AB54" s="283">
        <f t="shared" si="29"/>
        <v>0</v>
      </c>
      <c r="AC54" s="317">
        <f t="shared" ca="1" si="29"/>
        <v>-1.1855798975733782</v>
      </c>
      <c r="AD54" s="162"/>
      <c r="AE54" s="162"/>
      <c r="AF54" s="162"/>
      <c r="AG54" s="162"/>
      <c r="AH54" s="162"/>
      <c r="AI54" s="162"/>
      <c r="AJ54" s="162"/>
      <c r="AK54" s="162"/>
    </row>
    <row r="55" spans="3:37" x14ac:dyDescent="0.3">
      <c r="C55" s="30" t="s">
        <v>162</v>
      </c>
      <c r="E55" s="172">
        <f ca="1">AC55</f>
        <v>19.436553463034858</v>
      </c>
      <c r="F55" s="182"/>
      <c r="G55" s="183"/>
      <c r="H55" s="182"/>
      <c r="I55" s="182"/>
      <c r="J55" s="182"/>
      <c r="K55" s="182"/>
      <c r="L55" s="182"/>
      <c r="M55" s="182"/>
      <c r="N55" s="182"/>
      <c r="O55" s="182"/>
      <c r="P55" s="184"/>
      <c r="Q55" s="201">
        <v>0</v>
      </c>
      <c r="R55" s="277">
        <f>SUM(R49:R54)</f>
        <v>2.4749999999999996</v>
      </c>
      <c r="S55" s="277">
        <f t="shared" ref="S55:AC55" si="30">SUM(S49:S54)</f>
        <v>4.6375312499999986</v>
      </c>
      <c r="T55" s="277">
        <f t="shared" si="30"/>
        <v>6.4840784765624981</v>
      </c>
      <c r="U55" s="277">
        <f t="shared" ca="1" si="30"/>
        <v>7.6962024912028424</v>
      </c>
      <c r="V55" s="277">
        <f t="shared" ca="1" si="30"/>
        <v>11.132694241677481</v>
      </c>
      <c r="W55" s="277">
        <f t="shared" ca="1" si="30"/>
        <v>13.832911384581436</v>
      </c>
      <c r="X55" s="277">
        <f t="shared" ca="1" si="30"/>
        <v>15.77267199364343</v>
      </c>
      <c r="Y55" s="277">
        <f t="shared" ca="1" si="30"/>
        <v>16.375656445225683</v>
      </c>
      <c r="Z55" s="277">
        <f t="shared" ca="1" si="30"/>
        <v>19.188919531806999</v>
      </c>
      <c r="AA55" s="277">
        <f t="shared" ca="1" si="30"/>
        <v>20.854049341361499</v>
      </c>
      <c r="AB55" s="277">
        <f t="shared" ca="1" si="30"/>
        <v>21.341711545278422</v>
      </c>
      <c r="AC55" s="277">
        <f t="shared" ca="1" si="30"/>
        <v>19.436553463034858</v>
      </c>
      <c r="AD55" s="162"/>
      <c r="AE55" s="162"/>
      <c r="AF55" s="162"/>
      <c r="AG55" s="162"/>
      <c r="AH55" s="162"/>
      <c r="AI55" s="162"/>
      <c r="AJ55" s="162"/>
      <c r="AK55" s="162"/>
    </row>
    <row r="56" spans="3:37" x14ac:dyDescent="0.3">
      <c r="C56" s="30"/>
      <c r="E56" s="172"/>
      <c r="F56" s="182"/>
      <c r="G56" s="183"/>
      <c r="H56" s="182"/>
      <c r="I56" s="182"/>
      <c r="J56" s="182"/>
      <c r="K56" s="182"/>
      <c r="L56" s="182"/>
      <c r="M56" s="182"/>
      <c r="N56" s="182"/>
      <c r="O56" s="182"/>
      <c r="P56" s="184"/>
      <c r="Q56" s="162"/>
      <c r="R56" s="341"/>
      <c r="S56" s="341"/>
      <c r="T56" s="341"/>
      <c r="U56" s="341"/>
      <c r="V56" s="341"/>
      <c r="W56" s="341"/>
      <c r="X56" s="341"/>
      <c r="Y56" s="341"/>
      <c r="Z56" s="341"/>
      <c r="AA56" s="341"/>
      <c r="AB56" s="341"/>
      <c r="AC56" s="341"/>
      <c r="AD56" s="162"/>
      <c r="AE56" s="162"/>
      <c r="AF56" s="162"/>
      <c r="AG56" s="162"/>
      <c r="AH56" s="162"/>
      <c r="AI56" s="162"/>
      <c r="AJ56" s="162"/>
      <c r="AK56" s="162"/>
    </row>
    <row r="57" spans="3:37" s="59" customFormat="1" x14ac:dyDescent="0.3">
      <c r="E57" s="187"/>
      <c r="F57" s="188"/>
      <c r="G57" s="189"/>
      <c r="H57" s="188"/>
      <c r="I57" s="188"/>
      <c r="J57" s="188"/>
      <c r="K57" s="188"/>
      <c r="L57" s="188"/>
      <c r="M57" s="188"/>
      <c r="N57" s="188"/>
      <c r="O57" s="188"/>
      <c r="P57" s="190"/>
      <c r="Q57" s="164"/>
      <c r="R57" s="282"/>
      <c r="S57" s="282"/>
      <c r="T57" s="282"/>
      <c r="U57" s="282"/>
      <c r="V57" s="282"/>
      <c r="W57" s="282"/>
      <c r="X57" s="282"/>
      <c r="Y57" s="282"/>
      <c r="Z57" s="282"/>
      <c r="AA57" s="282"/>
      <c r="AB57" s="282"/>
      <c r="AC57" s="282"/>
      <c r="AD57" s="164"/>
      <c r="AE57" s="164"/>
      <c r="AF57" s="164"/>
      <c r="AG57" s="164"/>
      <c r="AH57" s="164"/>
      <c r="AI57" s="164"/>
      <c r="AJ57" s="164"/>
      <c r="AK57" s="164"/>
    </row>
    <row r="58" spans="3:37" x14ac:dyDescent="0.3">
      <c r="C58" s="31" t="s">
        <v>168</v>
      </c>
      <c r="E58" s="173"/>
      <c r="F58" s="178"/>
      <c r="G58" s="179"/>
      <c r="H58" s="178"/>
      <c r="I58" s="178"/>
      <c r="J58" s="178"/>
      <c r="K58" s="178"/>
      <c r="L58" s="178"/>
      <c r="M58" s="178"/>
      <c r="N58" s="178"/>
      <c r="O58" s="178"/>
      <c r="P58" s="191"/>
      <c r="Q58" s="165"/>
      <c r="R58" s="166"/>
      <c r="S58" s="166"/>
      <c r="T58" s="166"/>
      <c r="U58" s="166"/>
      <c r="V58" s="166"/>
      <c r="W58" s="166"/>
      <c r="X58" s="166"/>
      <c r="Y58" s="166"/>
      <c r="Z58" s="166"/>
      <c r="AA58" s="166"/>
      <c r="AB58" s="166"/>
      <c r="AC58" s="166"/>
      <c r="AD58" s="165"/>
      <c r="AE58" s="165"/>
      <c r="AF58" s="165"/>
      <c r="AG58" s="165"/>
      <c r="AH58" s="165"/>
      <c r="AI58" s="165"/>
      <c r="AJ58" s="165"/>
      <c r="AK58" s="165"/>
    </row>
    <row r="59" spans="3:37" x14ac:dyDescent="0.3">
      <c r="C59" s="30" t="s">
        <v>203</v>
      </c>
      <c r="E59" s="203">
        <f>SUM(R59:AC59)</f>
        <v>3</v>
      </c>
      <c r="F59" s="182"/>
      <c r="G59" s="204">
        <f>SUM(R59:U59)</f>
        <v>0.5</v>
      </c>
      <c r="H59" s="205">
        <f>SUM(V59:Y59)</f>
        <v>1</v>
      </c>
      <c r="I59" s="205">
        <f>SUM(Z59:AC59)</f>
        <v>1.5</v>
      </c>
      <c r="J59" s="205" t="e">
        <f>AVERAGE(#REF!)</f>
        <v>#REF!</v>
      </c>
      <c r="K59" s="205" t="e">
        <f>AVERAGE(#REF!)</f>
        <v>#REF!</v>
      </c>
      <c r="L59" s="182"/>
      <c r="M59" s="182"/>
      <c r="N59" s="182"/>
      <c r="O59" s="182"/>
      <c r="P59" s="184"/>
      <c r="Q59" s="165"/>
      <c r="R59" s="280">
        <f t="shared" ref="R59:AC59" si="31">-R25</f>
        <v>0.125</v>
      </c>
      <c r="S59" s="280">
        <f t="shared" si="31"/>
        <v>0.125</v>
      </c>
      <c r="T59" s="280">
        <f t="shared" si="31"/>
        <v>0.125</v>
      </c>
      <c r="U59" s="280">
        <f t="shared" si="31"/>
        <v>0.125</v>
      </c>
      <c r="V59" s="280">
        <f t="shared" si="31"/>
        <v>0.25</v>
      </c>
      <c r="W59" s="280">
        <f t="shared" si="31"/>
        <v>0.25</v>
      </c>
      <c r="X59" s="280">
        <f t="shared" si="31"/>
        <v>0.25</v>
      </c>
      <c r="Y59" s="280">
        <f t="shared" si="31"/>
        <v>0.25</v>
      </c>
      <c r="Z59" s="280">
        <f t="shared" si="31"/>
        <v>0.375</v>
      </c>
      <c r="AA59" s="280">
        <f t="shared" si="31"/>
        <v>0.375</v>
      </c>
      <c r="AB59" s="280">
        <f t="shared" si="31"/>
        <v>0.375</v>
      </c>
      <c r="AC59" s="280">
        <f t="shared" si="31"/>
        <v>0.375</v>
      </c>
      <c r="AD59" s="199"/>
      <c r="AE59" s="199"/>
      <c r="AF59" s="199"/>
      <c r="AG59" s="199"/>
      <c r="AH59" s="199"/>
      <c r="AI59" s="199"/>
      <c r="AJ59" s="199"/>
      <c r="AK59" s="199"/>
    </row>
    <row r="60" spans="3:37" x14ac:dyDescent="0.3">
      <c r="C60" s="30" t="s">
        <v>169</v>
      </c>
      <c r="E60" s="203">
        <f>I60</f>
        <v>3</v>
      </c>
      <c r="F60" s="182"/>
      <c r="G60" s="204">
        <f>U60</f>
        <v>0.5</v>
      </c>
      <c r="H60" s="205">
        <f>Y60</f>
        <v>1.5</v>
      </c>
      <c r="I60" s="205">
        <f>AC60</f>
        <v>3</v>
      </c>
      <c r="J60" s="205" t="e">
        <f>SUM(#REF!)</f>
        <v>#REF!</v>
      </c>
      <c r="K60" s="205" t="e">
        <f>SUM(#REF!)</f>
        <v>#REF!</v>
      </c>
      <c r="L60" s="182"/>
      <c r="M60" s="182"/>
      <c r="N60" s="182"/>
      <c r="O60" s="182"/>
      <c r="P60" s="184"/>
      <c r="Q60" s="165"/>
      <c r="R60" s="280">
        <f>SUM($R$59:R59)</f>
        <v>0.125</v>
      </c>
      <c r="S60" s="280">
        <f>SUM($R$59:S59)</f>
        <v>0.25</v>
      </c>
      <c r="T60" s="280">
        <f>SUM($R$59:T59)</f>
        <v>0.375</v>
      </c>
      <c r="U60" s="280">
        <f>SUM($R$59:U59)</f>
        <v>0.5</v>
      </c>
      <c r="V60" s="280">
        <f>SUM($R$59:V59)</f>
        <v>0.75</v>
      </c>
      <c r="W60" s="280">
        <f>SUM($R$59:W59)</f>
        <v>1</v>
      </c>
      <c r="X60" s="280">
        <f>SUM($R$59:X59)</f>
        <v>1.25</v>
      </c>
      <c r="Y60" s="280">
        <f>SUM($R$59:Y59)</f>
        <v>1.5</v>
      </c>
      <c r="Z60" s="280">
        <f>SUM($R$59:Z59)</f>
        <v>1.875</v>
      </c>
      <c r="AA60" s="280">
        <f>SUM($R$59:AA59)</f>
        <v>2.25</v>
      </c>
      <c r="AB60" s="280">
        <f>SUM($R$59:AB59)</f>
        <v>2.625</v>
      </c>
      <c r="AC60" s="286">
        <f>SUM($R$59:AC59)</f>
        <v>3</v>
      </c>
      <c r="AD60" s="199"/>
      <c r="AE60" s="199"/>
      <c r="AF60" s="199"/>
      <c r="AG60" s="199"/>
      <c r="AH60" s="199"/>
      <c r="AI60" s="199"/>
      <c r="AJ60" s="199"/>
      <c r="AK60" s="199"/>
    </row>
    <row r="61" spans="3:37" x14ac:dyDescent="0.3">
      <c r="C61" s="30"/>
      <c r="E61" s="203"/>
      <c r="F61" s="182"/>
      <c r="G61" s="204"/>
      <c r="H61" s="205"/>
      <c r="I61" s="205"/>
      <c r="J61" s="205"/>
      <c r="K61" s="205"/>
      <c r="L61" s="182"/>
      <c r="M61" s="182"/>
      <c r="N61" s="182"/>
      <c r="O61" s="182"/>
      <c r="P61" s="184"/>
      <c r="Q61" s="165"/>
      <c r="R61" s="280"/>
      <c r="S61" s="280"/>
      <c r="T61" s="280"/>
      <c r="U61" s="280"/>
      <c r="V61" s="280"/>
      <c r="W61" s="280"/>
      <c r="X61" s="280"/>
      <c r="Y61" s="280"/>
      <c r="Z61" s="280"/>
      <c r="AA61" s="280"/>
      <c r="AB61" s="280"/>
      <c r="AC61" s="280"/>
      <c r="AD61" s="199"/>
      <c r="AE61" s="199"/>
      <c r="AF61" s="199"/>
      <c r="AG61" s="199"/>
      <c r="AH61" s="199"/>
      <c r="AI61" s="199"/>
      <c r="AJ61" s="199"/>
      <c r="AK61" s="199"/>
    </row>
    <row r="62" spans="3:37" x14ac:dyDescent="0.3">
      <c r="C62" s="30" t="s">
        <v>170</v>
      </c>
      <c r="E62" s="203">
        <f ca="1">SUM(R62:AC62)</f>
        <v>1.8917191406276084</v>
      </c>
      <c r="F62" s="182"/>
      <c r="G62" s="204">
        <f ca="1">U62</f>
        <v>0.15448700329384107</v>
      </c>
      <c r="H62" s="205">
        <f ca="1">Y62</f>
        <v>0.55165223976038902</v>
      </c>
      <c r="I62" s="205">
        <f ca="1">AC62</f>
        <v>1.1855798975733782</v>
      </c>
      <c r="J62" s="205"/>
      <c r="K62" s="205"/>
      <c r="L62" s="182"/>
      <c r="M62" s="182"/>
      <c r="N62" s="182"/>
      <c r="O62" s="182"/>
      <c r="P62" s="184"/>
      <c r="Q62" s="165"/>
      <c r="R62" s="280"/>
      <c r="S62" s="280"/>
      <c r="T62" s="280"/>
      <c r="U62" s="285">
        <f ca="1">AVERAGE(R30:U30)*Assumptions!$E$29</f>
        <v>0.15448700329384107</v>
      </c>
      <c r="V62" s="280"/>
      <c r="W62" s="280"/>
      <c r="X62" s="280"/>
      <c r="Y62" s="285">
        <f ca="1">AVERAGE(V30:Y30)*Assumptions!$E$29</f>
        <v>0.55165223976038902</v>
      </c>
      <c r="Z62" s="280"/>
      <c r="AA62" s="280"/>
      <c r="AB62" s="280"/>
      <c r="AC62" s="285">
        <f ca="1">AVERAGE(Z30:AC30)*Assumptions!$E$29</f>
        <v>1.1855798975733782</v>
      </c>
      <c r="AD62" s="199"/>
      <c r="AE62" s="199"/>
      <c r="AF62" s="199"/>
      <c r="AG62" s="199"/>
      <c r="AH62" s="199"/>
      <c r="AI62" s="199"/>
      <c r="AJ62" s="199"/>
      <c r="AK62" s="199"/>
    </row>
    <row r="63" spans="3:37" x14ac:dyDescent="0.3">
      <c r="C63" s="30" t="s">
        <v>171</v>
      </c>
      <c r="E63" s="203">
        <f ca="1">AC63</f>
        <v>1.8917191406276084</v>
      </c>
      <c r="F63" s="182"/>
      <c r="G63" s="204">
        <f ca="1">U63</f>
        <v>0.15448700329384107</v>
      </c>
      <c r="H63" s="205">
        <f ca="1">Y63</f>
        <v>0.70613924305423015</v>
      </c>
      <c r="I63" s="205">
        <f ca="1">AC63</f>
        <v>1.8917191406276084</v>
      </c>
      <c r="J63" s="205"/>
      <c r="K63" s="205"/>
      <c r="L63" s="182"/>
      <c r="M63" s="182"/>
      <c r="N63" s="182"/>
      <c r="O63" s="182"/>
      <c r="P63" s="184"/>
      <c r="Q63" s="165"/>
      <c r="R63" s="280">
        <f>SUM($R$62:R62)</f>
        <v>0</v>
      </c>
      <c r="S63" s="280">
        <f>SUM($R$62:S62)</f>
        <v>0</v>
      </c>
      <c r="T63" s="280">
        <f>SUM($R$62:T62)</f>
        <v>0</v>
      </c>
      <c r="U63" s="280">
        <f ca="1">SUM($R$62:U62)</f>
        <v>0.15448700329384107</v>
      </c>
      <c r="V63" s="280">
        <f ca="1">SUM($R$62:V62)</f>
        <v>0.15448700329384107</v>
      </c>
      <c r="W63" s="280">
        <f ca="1">SUM($R$62:W62)</f>
        <v>0.15448700329384107</v>
      </c>
      <c r="X63" s="280">
        <f ca="1">SUM($R$62:X62)</f>
        <v>0.15448700329384107</v>
      </c>
      <c r="Y63" s="280">
        <f ca="1">SUM($R$62:Y62)</f>
        <v>0.70613924305423015</v>
      </c>
      <c r="Z63" s="280">
        <f ca="1">SUM($R$62:Z62)</f>
        <v>0.70613924305423015</v>
      </c>
      <c r="AA63" s="280">
        <f ca="1">SUM($R$62:AA62)</f>
        <v>0.70613924305423015</v>
      </c>
      <c r="AB63" s="280">
        <f ca="1">SUM($R$62:AB62)</f>
        <v>0.70613924305423015</v>
      </c>
      <c r="AC63" s="286">
        <f ca="1">SUM($R$62:AC62)</f>
        <v>1.8917191406276084</v>
      </c>
      <c r="AD63" s="199"/>
      <c r="AE63" s="199"/>
      <c r="AF63" s="199"/>
      <c r="AG63" s="199"/>
      <c r="AH63" s="199"/>
      <c r="AI63" s="199"/>
      <c r="AJ63" s="199"/>
      <c r="AK63" s="199"/>
    </row>
    <row r="64" spans="3:37" x14ac:dyDescent="0.3">
      <c r="C64" s="30"/>
      <c r="E64" s="203"/>
      <c r="F64" s="182"/>
      <c r="G64" s="204"/>
      <c r="H64" s="205"/>
      <c r="I64" s="205"/>
      <c r="J64" s="205"/>
      <c r="K64" s="205"/>
      <c r="L64" s="182"/>
      <c r="M64" s="182"/>
      <c r="N64" s="182"/>
      <c r="O64" s="182"/>
      <c r="P64" s="184"/>
      <c r="Q64" s="165"/>
      <c r="R64" s="280"/>
      <c r="S64" s="280"/>
      <c r="T64" s="280"/>
      <c r="U64" s="280"/>
      <c r="V64" s="280"/>
      <c r="W64" s="280"/>
      <c r="X64" s="280"/>
      <c r="Y64" s="280"/>
      <c r="Z64" s="280"/>
      <c r="AA64" s="280"/>
      <c r="AB64" s="280"/>
      <c r="AC64" s="280"/>
      <c r="AD64" s="199"/>
      <c r="AE64" s="199"/>
      <c r="AF64" s="199"/>
      <c r="AG64" s="199"/>
      <c r="AH64" s="199"/>
      <c r="AI64" s="199"/>
      <c r="AJ64" s="199"/>
      <c r="AK64" s="199"/>
    </row>
    <row r="65" spans="1:37" x14ac:dyDescent="0.3">
      <c r="C65" s="30"/>
      <c r="E65" s="203"/>
      <c r="F65" s="182"/>
      <c r="G65" s="204"/>
      <c r="H65" s="205"/>
      <c r="I65" s="205"/>
      <c r="J65" s="205"/>
      <c r="K65" s="205"/>
      <c r="L65" s="182"/>
      <c r="M65" s="182"/>
      <c r="N65" s="182"/>
      <c r="O65" s="182"/>
      <c r="P65" s="184"/>
      <c r="Q65" s="165"/>
      <c r="R65" s="280"/>
      <c r="S65" s="280"/>
      <c r="T65" s="280"/>
      <c r="U65" s="280"/>
      <c r="V65" s="280"/>
      <c r="W65" s="280"/>
      <c r="X65" s="280"/>
      <c r="Y65" s="280"/>
      <c r="Z65" s="280"/>
      <c r="AA65" s="280"/>
      <c r="AB65" s="280"/>
      <c r="AC65" s="280"/>
      <c r="AD65" s="199"/>
      <c r="AE65" s="199"/>
      <c r="AF65" s="199"/>
      <c r="AG65" s="199"/>
      <c r="AH65" s="199"/>
      <c r="AI65" s="199"/>
      <c r="AJ65" s="199"/>
      <c r="AK65" s="199"/>
    </row>
    <row r="66" spans="1:37" x14ac:dyDescent="0.3">
      <c r="C66" s="31" t="s">
        <v>144</v>
      </c>
      <c r="E66" s="173"/>
      <c r="F66" s="178"/>
      <c r="G66" s="179"/>
      <c r="H66" s="178"/>
      <c r="I66" s="178"/>
      <c r="J66" s="178"/>
      <c r="K66" s="178"/>
      <c r="L66" s="178"/>
      <c r="M66" s="178"/>
      <c r="N66" s="178"/>
      <c r="O66" s="178"/>
      <c r="P66" s="191"/>
      <c r="Q66" s="165"/>
      <c r="R66" s="166"/>
      <c r="S66" s="166"/>
      <c r="T66" s="166"/>
      <c r="U66" s="166"/>
      <c r="V66" s="166"/>
      <c r="W66" s="166"/>
      <c r="X66" s="166"/>
      <c r="Y66" s="166"/>
      <c r="Z66" s="166"/>
      <c r="AA66" s="166"/>
      <c r="AB66" s="166"/>
      <c r="AC66" s="166"/>
      <c r="AD66" s="165"/>
      <c r="AE66" s="165"/>
      <c r="AF66" s="165"/>
      <c r="AG66" s="165"/>
      <c r="AH66" s="165"/>
      <c r="AI66" s="165"/>
      <c r="AJ66" s="165"/>
      <c r="AK66" s="165"/>
    </row>
    <row r="67" spans="1:37" x14ac:dyDescent="0.3">
      <c r="C67" s="30" t="s">
        <v>191</v>
      </c>
      <c r="E67" s="203">
        <f ca="1">AC67</f>
        <v>2.0943247294418939</v>
      </c>
      <c r="F67" s="182"/>
      <c r="G67" s="204">
        <f ca="1">U67</f>
        <v>0.11199153450076693</v>
      </c>
      <c r="H67" s="205">
        <f ca="1">Y67</f>
        <v>0.45657792412367826</v>
      </c>
      <c r="I67" s="205">
        <f ca="1">AC67</f>
        <v>2.0943247294418939</v>
      </c>
      <c r="J67" s="205"/>
      <c r="K67" s="205"/>
      <c r="L67" s="182"/>
      <c r="M67" s="182"/>
      <c r="N67" s="182"/>
      <c r="O67" s="182"/>
      <c r="P67" s="184"/>
      <c r="Q67" s="165"/>
      <c r="R67" s="280">
        <f t="shared" ref="R67:T67" si="32">R40+R55-R30</f>
        <v>0</v>
      </c>
      <c r="S67" s="280">
        <f t="shared" si="32"/>
        <v>5.8781249999999119E-2</v>
      </c>
      <c r="T67" s="280">
        <f t="shared" si="32"/>
        <v>0.18675035156249464</v>
      </c>
      <c r="U67" s="286">
        <f ca="1">U40+U55-U30</f>
        <v>0.11199153450076693</v>
      </c>
      <c r="V67" s="280">
        <f t="shared" ref="V67:X67" ca="1" si="33">V40+V55-V30</f>
        <v>0.21296076393170438</v>
      </c>
      <c r="W67" s="280">
        <f t="shared" ca="1" si="33"/>
        <v>0.39177627264272985</v>
      </c>
      <c r="X67" s="280">
        <f t="shared" ca="1" si="33"/>
        <v>0.65473344925378285</v>
      </c>
      <c r="Y67" s="286">
        <f ca="1">Y40+Y55-Y30</f>
        <v>0.45657792412367826</v>
      </c>
      <c r="Z67" s="280">
        <f t="shared" ref="Z67:AB67" ca="1" si="34">Z40+Z55-Z30</f>
        <v>0.90099352552661571</v>
      </c>
      <c r="AA67" s="280">
        <f t="shared" ca="1" si="34"/>
        <v>1.5080126961251779</v>
      </c>
      <c r="AB67" s="280">
        <f t="shared" ca="1" si="34"/>
        <v>2.294983598877792</v>
      </c>
      <c r="AC67" s="286">
        <f ca="1">AC40+AC55-AC30</f>
        <v>2.0943247294418939</v>
      </c>
      <c r="AD67" s="199"/>
      <c r="AE67" s="199"/>
      <c r="AF67" s="199"/>
      <c r="AG67" s="199"/>
      <c r="AH67" s="199"/>
      <c r="AI67" s="199"/>
      <c r="AJ67" s="199"/>
      <c r="AK67" s="199"/>
    </row>
    <row r="68" spans="1:37" x14ac:dyDescent="0.3">
      <c r="C68" s="30"/>
      <c r="E68" s="203"/>
      <c r="F68" s="182"/>
      <c r="G68" s="204"/>
      <c r="H68" s="205"/>
      <c r="I68" s="205"/>
      <c r="J68" s="205"/>
      <c r="K68" s="205"/>
      <c r="L68" s="182"/>
      <c r="M68" s="182"/>
      <c r="N68" s="182"/>
      <c r="O68" s="182"/>
      <c r="P68" s="184"/>
      <c r="Q68" s="165"/>
      <c r="R68" s="280"/>
      <c r="S68" s="280"/>
      <c r="T68" s="280"/>
      <c r="U68" s="280"/>
      <c r="V68" s="280"/>
      <c r="W68" s="280"/>
      <c r="X68" s="280"/>
      <c r="Y68" s="280"/>
      <c r="Z68" s="280"/>
      <c r="AA68" s="280"/>
      <c r="AB68" s="280"/>
      <c r="AC68" s="280"/>
      <c r="AD68" s="199"/>
      <c r="AE68" s="199"/>
      <c r="AF68" s="199"/>
      <c r="AG68" s="199"/>
      <c r="AH68" s="199"/>
      <c r="AI68" s="199"/>
      <c r="AJ68" s="199"/>
      <c r="AK68" s="199"/>
    </row>
    <row r="69" spans="1:37" x14ac:dyDescent="0.3">
      <c r="C69" s="30"/>
      <c r="E69" s="203"/>
      <c r="F69" s="182"/>
      <c r="G69" s="204"/>
      <c r="H69" s="205"/>
      <c r="I69" s="205"/>
      <c r="J69" s="205"/>
      <c r="K69" s="205"/>
      <c r="L69" s="182"/>
      <c r="M69" s="182"/>
      <c r="N69" s="182"/>
      <c r="O69" s="182"/>
      <c r="P69" s="184"/>
      <c r="Q69" s="165"/>
      <c r="R69" s="280"/>
      <c r="S69" s="280"/>
      <c r="T69" s="280"/>
      <c r="U69" s="280"/>
      <c r="V69" s="280"/>
      <c r="W69" s="280"/>
      <c r="X69" s="280"/>
      <c r="Y69" s="280"/>
      <c r="Z69" s="280"/>
      <c r="AA69" s="280"/>
      <c r="AB69" s="280"/>
      <c r="AC69" s="280"/>
      <c r="AD69" s="199"/>
      <c r="AE69" s="199"/>
      <c r="AF69" s="199"/>
      <c r="AG69" s="199"/>
      <c r="AH69" s="199"/>
      <c r="AI69" s="199"/>
      <c r="AJ69" s="199"/>
      <c r="AK69" s="199"/>
    </row>
    <row r="70" spans="1:37" x14ac:dyDescent="0.3">
      <c r="C70" s="30"/>
      <c r="E70" s="173"/>
      <c r="F70" s="178"/>
      <c r="G70" s="179"/>
      <c r="H70" s="178"/>
      <c r="I70" s="178"/>
      <c r="J70" s="178"/>
      <c r="K70" s="178"/>
      <c r="L70" s="178"/>
      <c r="M70" s="178"/>
      <c r="N70" s="178"/>
      <c r="O70" s="178"/>
      <c r="P70" s="191"/>
      <c r="Q70" s="165"/>
      <c r="R70" s="166"/>
      <c r="S70" s="166"/>
      <c r="T70" s="166"/>
      <c r="U70" s="166"/>
      <c r="V70" s="166"/>
      <c r="W70" s="166"/>
      <c r="X70" s="166"/>
      <c r="Y70" s="166"/>
      <c r="Z70" s="166"/>
      <c r="AA70" s="166"/>
      <c r="AB70" s="166"/>
      <c r="AC70" s="166"/>
      <c r="AD70" s="165"/>
      <c r="AE70" s="165"/>
      <c r="AF70" s="165"/>
      <c r="AG70" s="165"/>
      <c r="AH70" s="165"/>
      <c r="AI70" s="165"/>
      <c r="AJ70" s="165"/>
      <c r="AK70" s="165"/>
    </row>
    <row r="71" spans="1:37" x14ac:dyDescent="0.3">
      <c r="C71" s="30" t="s">
        <v>34</v>
      </c>
      <c r="E71" s="192"/>
      <c r="F71" s="173"/>
      <c r="G71" s="193"/>
      <c r="H71" s="193"/>
      <c r="I71" s="193"/>
      <c r="J71" s="193"/>
      <c r="K71" s="193"/>
      <c r="L71" s="193"/>
      <c r="M71" s="193"/>
      <c r="N71" s="193"/>
      <c r="O71" s="193"/>
      <c r="P71" s="194"/>
      <c r="Q71" s="165"/>
      <c r="R71" s="202"/>
      <c r="S71" s="202"/>
      <c r="T71" s="202"/>
      <c r="U71" s="202"/>
      <c r="V71" s="202"/>
      <c r="W71" s="202"/>
      <c r="X71" s="202"/>
      <c r="Y71" s="202"/>
      <c r="Z71" s="202"/>
      <c r="AA71" s="202"/>
      <c r="AB71" s="202"/>
      <c r="AC71" s="202"/>
      <c r="AD71" s="202"/>
      <c r="AE71" s="202"/>
      <c r="AF71" s="202"/>
      <c r="AG71" s="202"/>
      <c r="AH71" s="202"/>
      <c r="AI71" s="202"/>
      <c r="AJ71" s="202"/>
      <c r="AK71" s="202"/>
    </row>
    <row r="72" spans="1:37" x14ac:dyDescent="0.3">
      <c r="C72" s="30"/>
      <c r="E72" s="87"/>
      <c r="F72" s="63"/>
      <c r="G72" s="51"/>
      <c r="H72" s="51"/>
      <c r="I72" s="51"/>
      <c r="J72" s="51"/>
      <c r="K72" s="51"/>
      <c r="L72" s="51"/>
      <c r="M72" s="51"/>
      <c r="N72" s="51"/>
      <c r="O72" s="51"/>
      <c r="P72" s="79"/>
      <c r="Q72" s="165"/>
      <c r="R72" s="166"/>
      <c r="S72" s="166"/>
      <c r="T72" s="166"/>
      <c r="U72" s="166"/>
      <c r="V72" s="166"/>
      <c r="W72" s="166"/>
      <c r="X72" s="166"/>
      <c r="Y72" s="166"/>
      <c r="Z72" s="166"/>
      <c r="AA72" s="166"/>
      <c r="AB72" s="166"/>
      <c r="AC72" s="166"/>
      <c r="AD72" s="166"/>
      <c r="AE72" s="166"/>
      <c r="AF72" s="166"/>
      <c r="AG72" s="166"/>
      <c r="AH72" s="166"/>
      <c r="AI72" s="166"/>
      <c r="AJ72" s="166"/>
      <c r="AK72" s="166"/>
    </row>
    <row r="73" spans="1:37" x14ac:dyDescent="0.3">
      <c r="C73" s="30"/>
      <c r="E73" s="87"/>
      <c r="F73" s="63"/>
      <c r="G73" s="51"/>
      <c r="H73" s="51"/>
      <c r="I73" s="51"/>
      <c r="J73" s="51"/>
      <c r="K73" s="51"/>
      <c r="L73" s="51"/>
      <c r="M73" s="51"/>
      <c r="N73" s="51"/>
      <c r="O73" s="51"/>
      <c r="P73" s="79"/>
      <c r="Q73" s="165"/>
      <c r="R73" s="166"/>
      <c r="S73" s="166"/>
      <c r="T73" s="166"/>
      <c r="U73" s="166"/>
      <c r="V73" s="166"/>
      <c r="W73" s="166"/>
      <c r="X73" s="166"/>
      <c r="Y73" s="166"/>
      <c r="Z73" s="166"/>
      <c r="AA73" s="166"/>
      <c r="AB73" s="166"/>
      <c r="AC73" s="166"/>
      <c r="AD73" s="166"/>
      <c r="AE73" s="166"/>
      <c r="AF73" s="166"/>
      <c r="AG73" s="166"/>
      <c r="AH73" s="166"/>
      <c r="AI73" s="166"/>
      <c r="AJ73" s="166"/>
      <c r="AK73" s="166"/>
    </row>
    <row r="74" spans="1:37" s="295" customFormat="1" ht="10.5" thickBot="1" x14ac:dyDescent="0.35">
      <c r="A74" s="289" t="s">
        <v>24</v>
      </c>
      <c r="B74" s="288" t="s">
        <v>193</v>
      </c>
      <c r="C74" s="290"/>
      <c r="D74" s="290"/>
      <c r="E74" s="291"/>
      <c r="F74" s="292"/>
      <c r="G74" s="290"/>
      <c r="H74" s="290"/>
      <c r="I74" s="290"/>
      <c r="J74" s="290"/>
      <c r="K74" s="290"/>
      <c r="L74" s="290"/>
      <c r="M74" s="290"/>
      <c r="N74" s="290"/>
      <c r="O74" s="290"/>
      <c r="P74" s="293"/>
      <c r="Q74" s="294"/>
      <c r="R74" s="294"/>
      <c r="S74" s="294"/>
      <c r="T74" s="294"/>
      <c r="U74" s="294"/>
      <c r="V74" s="294"/>
      <c r="W74" s="294"/>
      <c r="X74" s="294"/>
      <c r="Y74" s="294"/>
      <c r="Z74" s="294"/>
      <c r="AA74" s="294"/>
      <c r="AB74" s="294"/>
      <c r="AC74" s="294"/>
      <c r="AD74" s="294"/>
      <c r="AE74" s="294"/>
      <c r="AF74" s="294"/>
      <c r="AG74" s="294"/>
      <c r="AH74" s="294"/>
      <c r="AI74" s="294"/>
      <c r="AJ74" s="294"/>
      <c r="AK74" s="294"/>
    </row>
    <row r="75" spans="1:37" s="295" customFormat="1" x14ac:dyDescent="0.3">
      <c r="C75" s="296"/>
      <c r="E75" s="297"/>
      <c r="F75" s="298"/>
      <c r="P75" s="299"/>
      <c r="Q75" s="300"/>
      <c r="R75" s="300"/>
      <c r="S75" s="300"/>
      <c r="T75" s="300"/>
      <c r="U75" s="300"/>
      <c r="V75" s="300"/>
      <c r="W75" s="300"/>
      <c r="X75" s="300"/>
      <c r="Y75" s="300"/>
      <c r="Z75" s="300"/>
      <c r="AA75" s="300"/>
      <c r="AB75" s="300"/>
      <c r="AC75" s="300"/>
      <c r="AD75" s="300"/>
      <c r="AE75" s="300"/>
      <c r="AF75" s="300"/>
      <c r="AG75" s="300"/>
      <c r="AH75" s="300"/>
      <c r="AI75" s="300"/>
      <c r="AJ75" s="300"/>
      <c r="AK75" s="300"/>
    </row>
    <row r="76" spans="1:37" s="295" customFormat="1" hidden="1" outlineLevel="1" x14ac:dyDescent="0.3">
      <c r="C76" s="296"/>
      <c r="E76" s="297"/>
      <c r="F76" s="298"/>
      <c r="P76" s="299"/>
      <c r="Q76" s="300"/>
      <c r="R76" s="300"/>
      <c r="S76" s="300"/>
      <c r="T76" s="300"/>
      <c r="U76" s="300"/>
      <c r="V76" s="300"/>
      <c r="W76" s="300"/>
      <c r="X76" s="300"/>
      <c r="Y76" s="300"/>
      <c r="Z76" s="300"/>
      <c r="AA76" s="300"/>
      <c r="AB76" s="300"/>
      <c r="AC76" s="300"/>
      <c r="AD76" s="300"/>
      <c r="AE76" s="300"/>
      <c r="AF76" s="300"/>
      <c r="AG76" s="300"/>
      <c r="AH76" s="300"/>
      <c r="AI76" s="300"/>
      <c r="AJ76" s="300"/>
      <c r="AK76" s="300"/>
    </row>
    <row r="77" spans="1:37" s="295" customFormat="1" hidden="1" outlineLevel="1" x14ac:dyDescent="0.3">
      <c r="C77" s="296"/>
      <c r="E77" s="297"/>
      <c r="F77" s="298"/>
      <c r="P77" s="299"/>
      <c r="Q77" s="300"/>
      <c r="R77" s="300"/>
      <c r="S77" s="300"/>
      <c r="T77" s="300"/>
      <c r="U77" s="300"/>
      <c r="V77" s="300"/>
      <c r="W77" s="300"/>
      <c r="X77" s="300"/>
      <c r="Y77" s="300"/>
      <c r="Z77" s="300"/>
      <c r="AA77" s="300"/>
      <c r="AB77" s="300"/>
      <c r="AC77" s="300"/>
      <c r="AD77" s="300"/>
      <c r="AE77" s="300"/>
      <c r="AF77" s="300"/>
      <c r="AG77" s="300"/>
      <c r="AH77" s="300"/>
      <c r="AI77" s="300"/>
      <c r="AJ77" s="300"/>
      <c r="AK77" s="300"/>
    </row>
    <row r="78" spans="1:37" s="295" customFormat="1" hidden="1" outlineLevel="1" x14ac:dyDescent="0.3">
      <c r="C78" s="296"/>
      <c r="E78" s="297"/>
      <c r="F78" s="298"/>
      <c r="P78" s="299"/>
      <c r="Q78" s="300"/>
      <c r="R78" s="300"/>
      <c r="S78" s="300"/>
      <c r="T78" s="300"/>
      <c r="U78" s="300"/>
      <c r="V78" s="300"/>
      <c r="W78" s="300"/>
      <c r="X78" s="300"/>
      <c r="Y78" s="300"/>
      <c r="Z78" s="300"/>
      <c r="AA78" s="300"/>
      <c r="AB78" s="300"/>
      <c r="AC78" s="300"/>
      <c r="AD78" s="300"/>
      <c r="AE78" s="300"/>
      <c r="AF78" s="300"/>
      <c r="AG78" s="300"/>
      <c r="AH78" s="300"/>
      <c r="AI78" s="300"/>
      <c r="AJ78" s="300"/>
      <c r="AK78" s="300"/>
    </row>
    <row r="79" spans="1:37" s="295" customFormat="1" hidden="1" outlineLevel="1" x14ac:dyDescent="0.3">
      <c r="C79" s="296" t="s">
        <v>69</v>
      </c>
      <c r="E79" s="297"/>
      <c r="F79" s="298"/>
      <c r="G79" s="289"/>
      <c r="H79" s="289"/>
      <c r="I79" s="289"/>
      <c r="J79" s="289"/>
      <c r="K79" s="289"/>
      <c r="L79" s="289"/>
      <c r="M79" s="289"/>
      <c r="N79" s="289"/>
      <c r="O79" s="289"/>
      <c r="P79" s="301"/>
      <c r="Q79" s="300"/>
      <c r="R79" s="300"/>
      <c r="S79" s="300"/>
      <c r="T79" s="300"/>
      <c r="U79" s="300"/>
      <c r="V79" s="300"/>
      <c r="W79" s="300"/>
      <c r="X79" s="300"/>
      <c r="Y79" s="300"/>
      <c r="Z79" s="300"/>
      <c r="AA79" s="300"/>
      <c r="AB79" s="300"/>
      <c r="AC79" s="300"/>
      <c r="AD79" s="300"/>
      <c r="AE79" s="300"/>
      <c r="AF79" s="300"/>
      <c r="AG79" s="300"/>
      <c r="AH79" s="300"/>
      <c r="AI79" s="300"/>
      <c r="AJ79" s="300"/>
      <c r="AK79" s="300"/>
    </row>
    <row r="80" spans="1:37" s="295" customFormat="1" hidden="1" outlineLevel="1" x14ac:dyDescent="0.3">
      <c r="C80" s="295" t="s">
        <v>83</v>
      </c>
      <c r="E80" s="302">
        <f t="shared" ref="E80:E85" si="35">SUM(R80:AC80)</f>
        <v>0.71754116887641328</v>
      </c>
      <c r="F80" s="303"/>
      <c r="G80" s="304">
        <f>SUM(R80:AC80)</f>
        <v>0.71754116887641328</v>
      </c>
      <c r="H80" s="304" t="e">
        <f>SUM(#REF!)</f>
        <v>#REF!</v>
      </c>
      <c r="I80" s="304" t="e">
        <f>SUM(#REF!)</f>
        <v>#REF!</v>
      </c>
      <c r="J80" s="304" t="e">
        <f>SUM(#REF!)</f>
        <v>#REF!</v>
      </c>
      <c r="K80" s="304" t="e">
        <f>SUM(#REF!)</f>
        <v>#REF!</v>
      </c>
      <c r="L80" s="305"/>
      <c r="M80" s="305"/>
      <c r="N80" s="305"/>
      <c r="O80" s="305"/>
      <c r="P80" s="306"/>
      <c r="Q80" s="300"/>
      <c r="R80" s="307">
        <f>R60-R60/((1+Assumptions!$E$80)^(Assumptions!$E$63/12))</f>
        <v>5.7866223296484942E-3</v>
      </c>
      <c r="S80" s="307">
        <f>S60-S60/((1+Assumptions!$E$80)^(Assumptions!$E$63/12))</f>
        <v>1.1573244659296988E-2</v>
      </c>
      <c r="T80" s="307">
        <f>T60-T60/((1+Assumptions!$E$80)^(Assumptions!$E$63/12))</f>
        <v>1.7359866988945483E-2</v>
      </c>
      <c r="U80" s="307">
        <f>U60-U60/((1+Assumptions!$E$80)^(Assumptions!$E$63/12))</f>
        <v>2.3146489318593977E-2</v>
      </c>
      <c r="V80" s="307">
        <f>V60-V60/((1+Assumptions!$E$80)^(Assumptions!$E$63/12))</f>
        <v>3.4719733977890965E-2</v>
      </c>
      <c r="W80" s="307">
        <f>W60-W60/((1+Assumptions!$E$80)^(Assumptions!$E$63/12))</f>
        <v>4.6292978637187954E-2</v>
      </c>
      <c r="X80" s="307">
        <f>X60-X60/((1+Assumptions!$E$80)^(Assumptions!$E$63/12))</f>
        <v>5.7866223296484831E-2</v>
      </c>
      <c r="Y80" s="307">
        <f>Y60-Y60/((1+Assumptions!$E$80)^(Assumptions!$E$63/12))</f>
        <v>6.9439467955781931E-2</v>
      </c>
      <c r="Z80" s="307">
        <f>Z60-Z60/((1+Assumptions!$E$80)^(Assumptions!$E$63/12))</f>
        <v>8.6799334944727358E-2</v>
      </c>
      <c r="AA80" s="307">
        <f>AA60-AA60/((1+Assumptions!$E$80)^(Assumptions!$E$63/12))</f>
        <v>0.10415920193367301</v>
      </c>
      <c r="AB80" s="307">
        <f>AB60-AB60/((1+Assumptions!$E$80)^(Assumptions!$E$63/12))</f>
        <v>0.12151906892261843</v>
      </c>
      <c r="AC80" s="307">
        <f>AC60-AC60/((1+Assumptions!$E$80)^(Assumptions!$E$63/12))</f>
        <v>0.13887893591156386</v>
      </c>
      <c r="AD80" s="307"/>
      <c r="AE80" s="307"/>
      <c r="AF80" s="307"/>
      <c r="AG80" s="307"/>
      <c r="AH80" s="307"/>
      <c r="AI80" s="307"/>
      <c r="AJ80" s="307"/>
      <c r="AK80" s="307"/>
    </row>
    <row r="81" spans="3:37" s="295" customFormat="1" hidden="1" outlineLevel="1" x14ac:dyDescent="0.3">
      <c r="C81" s="295" t="s">
        <v>84</v>
      </c>
      <c r="E81" s="302" t="e">
        <f t="shared" si="35"/>
        <v>#REF!</v>
      </c>
      <c r="F81" s="303"/>
      <c r="G81" s="304" t="e">
        <f>SUM(R81:AC81)</f>
        <v>#REF!</v>
      </c>
      <c r="H81" s="304" t="e">
        <f>SUM(#REF!)</f>
        <v>#REF!</v>
      </c>
      <c r="I81" s="304" t="e">
        <f>SUM(#REF!)</f>
        <v>#REF!</v>
      </c>
      <c r="J81" s="304" t="e">
        <f>SUM(#REF!)</f>
        <v>#REF!</v>
      </c>
      <c r="K81" s="304" t="e">
        <f>SUM(#REF!)</f>
        <v>#REF!</v>
      </c>
      <c r="L81" s="305"/>
      <c r="M81" s="305"/>
      <c r="N81" s="305"/>
      <c r="O81" s="305"/>
      <c r="P81" s="306"/>
      <c r="Q81" s="300"/>
      <c r="R81" s="307" t="e">
        <f>#REF!-#REF!/((1+Assumptions!$E$80)^(Assumptions!#REF!/12))</f>
        <v>#REF!</v>
      </c>
      <c r="S81" s="307" t="e">
        <f>#REF!-#REF!/((1+Assumptions!$E$80)^(Assumptions!#REF!/12))</f>
        <v>#REF!</v>
      </c>
      <c r="T81" s="307" t="e">
        <f>#REF!-#REF!/((1+Assumptions!$E$80)^(Assumptions!#REF!/12))</f>
        <v>#REF!</v>
      </c>
      <c r="U81" s="307" t="e">
        <f>#REF!-#REF!/((1+Assumptions!$E$80)^(Assumptions!#REF!/12))</f>
        <v>#REF!</v>
      </c>
      <c r="V81" s="307" t="e">
        <f>#REF!-#REF!/((1+Assumptions!$E$80)^(Assumptions!#REF!/12))</f>
        <v>#REF!</v>
      </c>
      <c r="W81" s="307" t="e">
        <f>#REF!-#REF!/((1+Assumptions!$E$80)^(Assumptions!#REF!/12))</f>
        <v>#REF!</v>
      </c>
      <c r="X81" s="307" t="e">
        <f>#REF!-#REF!/((1+Assumptions!$E$80)^(Assumptions!#REF!/12))</f>
        <v>#REF!</v>
      </c>
      <c r="Y81" s="307" t="e">
        <f>#REF!-#REF!/((1+Assumptions!$E$80)^(Assumptions!#REF!/12))</f>
        <v>#REF!</v>
      </c>
      <c r="Z81" s="307" t="e">
        <f>#REF!-#REF!/((1+Assumptions!$E$80)^(Assumptions!#REF!/12))</f>
        <v>#REF!</v>
      </c>
      <c r="AA81" s="307" t="e">
        <f>#REF!-#REF!/((1+Assumptions!$E$80)^(Assumptions!#REF!/12))</f>
        <v>#REF!</v>
      </c>
      <c r="AB81" s="307" t="e">
        <f>#REF!-#REF!/((1+Assumptions!$E$80)^(Assumptions!#REF!/12))</f>
        <v>#REF!</v>
      </c>
      <c r="AC81" s="307" t="e">
        <f>#REF!-#REF!/((1+Assumptions!$E$80)^(Assumptions!#REF!/12))</f>
        <v>#REF!</v>
      </c>
      <c r="AD81" s="307"/>
      <c r="AE81" s="307"/>
      <c r="AF81" s="307"/>
      <c r="AG81" s="307"/>
      <c r="AH81" s="307"/>
      <c r="AI81" s="307"/>
      <c r="AJ81" s="307"/>
      <c r="AK81" s="307"/>
    </row>
    <row r="82" spans="3:37" s="295" customFormat="1" hidden="1" outlineLevel="1" x14ac:dyDescent="0.3">
      <c r="C82" s="295" t="s">
        <v>82</v>
      </c>
      <c r="E82" s="302" t="e">
        <f t="shared" si="35"/>
        <v>#REF!</v>
      </c>
      <c r="F82" s="303"/>
      <c r="G82" s="304" t="e">
        <f>SUM(R82:AC82)</f>
        <v>#REF!</v>
      </c>
      <c r="H82" s="304" t="e">
        <f>SUM(#REF!)</f>
        <v>#REF!</v>
      </c>
      <c r="I82" s="304" t="e">
        <f>SUM(#REF!)</f>
        <v>#REF!</v>
      </c>
      <c r="J82" s="304" t="e">
        <f>SUM(#REF!)</f>
        <v>#REF!</v>
      </c>
      <c r="K82" s="304" t="e">
        <f>SUM(#REF!)</f>
        <v>#REF!</v>
      </c>
      <c r="L82" s="305"/>
      <c r="M82" s="305"/>
      <c r="N82" s="305"/>
      <c r="O82" s="305"/>
      <c r="P82" s="306"/>
      <c r="Q82" s="300"/>
      <c r="R82" s="307" t="e">
        <f>IF(#REF!&gt;0,#REF!*Assumptions!$E$81/12,0)</f>
        <v>#REF!</v>
      </c>
      <c r="S82" s="307" t="e">
        <f>IF(#REF!&gt;0,#REF!*Assumptions!$E$81/12,0)</f>
        <v>#REF!</v>
      </c>
      <c r="T82" s="307" t="e">
        <f>IF(#REF!&gt;0,#REF!*Assumptions!$E$81/12,0)</f>
        <v>#REF!</v>
      </c>
      <c r="U82" s="307" t="e">
        <f>IF(#REF!&gt;0,#REF!*Assumptions!$E$81/12,0)</f>
        <v>#REF!</v>
      </c>
      <c r="V82" s="307" t="e">
        <f>IF(#REF!&gt;0,#REF!*Assumptions!$E$81/12,0)</f>
        <v>#REF!</v>
      </c>
      <c r="W82" s="307" t="e">
        <f>IF(#REF!&gt;0,#REF!*Assumptions!$E$81/12,0)</f>
        <v>#REF!</v>
      </c>
      <c r="X82" s="307" t="e">
        <f>IF(#REF!&gt;0,#REF!*Assumptions!$E$81/12,0)</f>
        <v>#REF!</v>
      </c>
      <c r="Y82" s="307" t="e">
        <f>IF(#REF!&gt;0,#REF!*Assumptions!$E$81/12,0)</f>
        <v>#REF!</v>
      </c>
      <c r="Z82" s="307" t="e">
        <f>IF(#REF!&gt;0,#REF!*Assumptions!$E$81/12,0)</f>
        <v>#REF!</v>
      </c>
      <c r="AA82" s="307" t="e">
        <f>IF(#REF!&gt;0,#REF!*Assumptions!$E$81/12,0)</f>
        <v>#REF!</v>
      </c>
      <c r="AB82" s="307" t="e">
        <f>IF(#REF!&gt;0,#REF!*Assumptions!$E$81/12,0)</f>
        <v>#REF!</v>
      </c>
      <c r="AC82" s="307" t="e">
        <f>IF(#REF!&gt;0,#REF!*Assumptions!$E$81/12,0)</f>
        <v>#REF!</v>
      </c>
      <c r="AD82" s="307"/>
      <c r="AE82" s="307"/>
      <c r="AF82" s="307"/>
      <c r="AG82" s="307"/>
      <c r="AH82" s="307"/>
      <c r="AI82" s="307"/>
      <c r="AJ82" s="307"/>
      <c r="AK82" s="307"/>
    </row>
    <row r="83" spans="3:37" s="295" customFormat="1" hidden="1" outlineLevel="1" x14ac:dyDescent="0.3">
      <c r="C83" s="295" t="s">
        <v>180</v>
      </c>
      <c r="E83" s="302" t="e">
        <f t="shared" si="35"/>
        <v>#REF!</v>
      </c>
      <c r="F83" s="303"/>
      <c r="G83" s="304" t="e">
        <f>SUM(R83:AC83)</f>
        <v>#REF!</v>
      </c>
      <c r="H83" s="304" t="e">
        <f>SUM(#REF!)</f>
        <v>#REF!</v>
      </c>
      <c r="I83" s="304" t="e">
        <f>SUM(#REF!)</f>
        <v>#REF!</v>
      </c>
      <c r="J83" s="304" t="e">
        <f>SUM(#REF!)</f>
        <v>#REF!</v>
      </c>
      <c r="K83" s="304" t="e">
        <f>SUM(#REF!)</f>
        <v>#REF!</v>
      </c>
      <c r="L83" s="305"/>
      <c r="M83" s="305"/>
      <c r="N83" s="305"/>
      <c r="O83" s="305"/>
      <c r="P83" s="306"/>
      <c r="Q83" s="300"/>
      <c r="R83" s="307" t="e">
        <f>-R95</f>
        <v>#REF!</v>
      </c>
      <c r="S83" s="307" t="e">
        <f t="shared" ref="S83:AC83" si="36">-S95</f>
        <v>#REF!</v>
      </c>
      <c r="T83" s="307" t="e">
        <f t="shared" si="36"/>
        <v>#REF!</v>
      </c>
      <c r="U83" s="307" t="e">
        <f t="shared" si="36"/>
        <v>#REF!</v>
      </c>
      <c r="V83" s="307" t="e">
        <f t="shared" si="36"/>
        <v>#REF!</v>
      </c>
      <c r="W83" s="307" t="e">
        <f t="shared" si="36"/>
        <v>#REF!</v>
      </c>
      <c r="X83" s="307" t="e">
        <f t="shared" si="36"/>
        <v>#REF!</v>
      </c>
      <c r="Y83" s="307" t="e">
        <f t="shared" si="36"/>
        <v>#REF!</v>
      </c>
      <c r="Z83" s="307" t="e">
        <f t="shared" si="36"/>
        <v>#REF!</v>
      </c>
      <c r="AA83" s="307" t="e">
        <f t="shared" si="36"/>
        <v>#REF!</v>
      </c>
      <c r="AB83" s="307" t="e">
        <f t="shared" si="36"/>
        <v>#REF!</v>
      </c>
      <c r="AC83" s="307" t="e">
        <f t="shared" si="36"/>
        <v>#REF!</v>
      </c>
      <c r="AD83" s="307"/>
      <c r="AE83" s="307"/>
      <c r="AF83" s="307"/>
      <c r="AG83" s="307"/>
      <c r="AH83" s="307"/>
      <c r="AI83" s="307"/>
      <c r="AJ83" s="307"/>
      <c r="AK83" s="307"/>
    </row>
    <row r="84" spans="3:37" s="295" customFormat="1" hidden="1" outlineLevel="1" x14ac:dyDescent="0.3">
      <c r="C84" s="308" t="s">
        <v>181</v>
      </c>
      <c r="D84" s="309"/>
      <c r="E84" s="310" t="e">
        <f t="shared" si="35"/>
        <v>#REF!</v>
      </c>
      <c r="F84" s="311"/>
      <c r="G84" s="312" t="e">
        <f>SUM(R84:AC84)</f>
        <v>#REF!</v>
      </c>
      <c r="H84" s="313" t="e">
        <f>SUM(#REF!)</f>
        <v>#REF!</v>
      </c>
      <c r="I84" s="313" t="e">
        <f>SUM(#REF!)</f>
        <v>#REF!</v>
      </c>
      <c r="J84" s="313" t="e">
        <f>SUM(#REF!)</f>
        <v>#REF!</v>
      </c>
      <c r="K84" s="313" t="e">
        <f>SUM(#REF!)</f>
        <v>#REF!</v>
      </c>
      <c r="L84" s="314"/>
      <c r="M84" s="314"/>
      <c r="N84" s="314"/>
      <c r="O84" s="314"/>
      <c r="P84" s="315"/>
      <c r="Q84" s="316"/>
      <c r="R84" s="317" t="e">
        <f>-#REF!*(Assumptions!$E$89/12)</f>
        <v>#REF!</v>
      </c>
      <c r="S84" s="317" t="e">
        <f>-#REF!*(Assumptions!$E$89/12)</f>
        <v>#REF!</v>
      </c>
      <c r="T84" s="317" t="e">
        <f>-#REF!*(Assumptions!$E$89/12)</f>
        <v>#REF!</v>
      </c>
      <c r="U84" s="317" t="e">
        <f>-#REF!*(Assumptions!$E$89/12)</f>
        <v>#REF!</v>
      </c>
      <c r="V84" s="317" t="e">
        <f>-#REF!*(Assumptions!$E$89/12)</f>
        <v>#REF!</v>
      </c>
      <c r="W84" s="317" t="e">
        <f>-#REF!*(Assumptions!$E$89/12)</f>
        <v>#REF!</v>
      </c>
      <c r="X84" s="317" t="e">
        <f>-#REF!*(Assumptions!$E$89/12)</f>
        <v>#REF!</v>
      </c>
      <c r="Y84" s="317" t="e">
        <f>-#REF!*(Assumptions!$E$89/12)</f>
        <v>#REF!</v>
      </c>
      <c r="Z84" s="317" t="e">
        <f>-#REF!*(Assumptions!$E$89/12)</f>
        <v>#REF!</v>
      </c>
      <c r="AA84" s="317" t="e">
        <f>-#REF!*(Assumptions!$E$89/12)</f>
        <v>#REF!</v>
      </c>
      <c r="AB84" s="317" t="e">
        <f>-#REF!*(Assumptions!$E$89/12)</f>
        <v>#REF!</v>
      </c>
      <c r="AC84" s="317" t="e">
        <f>-#REF!*(Assumptions!$E$89/12)</f>
        <v>#REF!</v>
      </c>
      <c r="AD84" s="317"/>
      <c r="AE84" s="317"/>
      <c r="AF84" s="317"/>
      <c r="AG84" s="317"/>
      <c r="AH84" s="317"/>
      <c r="AI84" s="317"/>
      <c r="AJ84" s="317"/>
      <c r="AK84" s="317"/>
    </row>
    <row r="85" spans="3:37" s="295" customFormat="1" hidden="1" outlineLevel="1" x14ac:dyDescent="0.3">
      <c r="C85" s="295" t="s">
        <v>99</v>
      </c>
      <c r="E85" s="302" t="e">
        <f t="shared" si="35"/>
        <v>#REF!</v>
      </c>
      <c r="F85" s="303"/>
      <c r="G85" s="304" t="e">
        <f>SUM(G80:G84)</f>
        <v>#REF!</v>
      </c>
      <c r="H85" s="304" t="e">
        <f t="shared" ref="H85:J85" si="37">SUM(H80:H84)</f>
        <v>#REF!</v>
      </c>
      <c r="I85" s="304" t="e">
        <f t="shared" si="37"/>
        <v>#REF!</v>
      </c>
      <c r="J85" s="304" t="e">
        <f t="shared" si="37"/>
        <v>#REF!</v>
      </c>
      <c r="K85" s="304" t="e">
        <f>SUM(#REF!)</f>
        <v>#REF!</v>
      </c>
      <c r="L85" s="305"/>
      <c r="M85" s="305"/>
      <c r="N85" s="305"/>
      <c r="O85" s="305"/>
      <c r="P85" s="306"/>
      <c r="Q85" s="300"/>
      <c r="R85" s="307" t="e">
        <f>SUM(R80:R84)</f>
        <v>#REF!</v>
      </c>
      <c r="S85" s="307" t="e">
        <f t="shared" ref="S85:AC85" si="38">SUM(S80:S84)</f>
        <v>#REF!</v>
      </c>
      <c r="T85" s="307" t="e">
        <f t="shared" si="38"/>
        <v>#REF!</v>
      </c>
      <c r="U85" s="307" t="e">
        <f t="shared" si="38"/>
        <v>#REF!</v>
      </c>
      <c r="V85" s="307" t="e">
        <f t="shared" si="38"/>
        <v>#REF!</v>
      </c>
      <c r="W85" s="307" t="e">
        <f t="shared" si="38"/>
        <v>#REF!</v>
      </c>
      <c r="X85" s="307" t="e">
        <f t="shared" si="38"/>
        <v>#REF!</v>
      </c>
      <c r="Y85" s="307" t="e">
        <f t="shared" si="38"/>
        <v>#REF!</v>
      </c>
      <c r="Z85" s="307" t="e">
        <f t="shared" si="38"/>
        <v>#REF!</v>
      </c>
      <c r="AA85" s="307" t="e">
        <f t="shared" si="38"/>
        <v>#REF!</v>
      </c>
      <c r="AB85" s="307" t="e">
        <f t="shared" si="38"/>
        <v>#REF!</v>
      </c>
      <c r="AC85" s="307" t="e">
        <f t="shared" si="38"/>
        <v>#REF!</v>
      </c>
      <c r="AD85" s="307"/>
      <c r="AE85" s="307"/>
      <c r="AF85" s="307"/>
      <c r="AG85" s="307"/>
      <c r="AH85" s="307"/>
      <c r="AI85" s="307"/>
      <c r="AJ85" s="307"/>
      <c r="AK85" s="307"/>
    </row>
    <row r="86" spans="3:37" s="295" customFormat="1" hidden="1" outlineLevel="1" x14ac:dyDescent="0.3">
      <c r="E86" s="297"/>
      <c r="F86" s="298"/>
      <c r="G86" s="318"/>
      <c r="H86" s="318"/>
      <c r="I86" s="318"/>
      <c r="J86" s="318"/>
      <c r="K86" s="318"/>
      <c r="L86" s="305"/>
      <c r="M86" s="305"/>
      <c r="N86" s="305"/>
      <c r="O86" s="305"/>
      <c r="P86" s="306"/>
      <c r="Q86" s="300"/>
      <c r="R86" s="300"/>
      <c r="S86" s="300"/>
      <c r="T86" s="300"/>
      <c r="U86" s="300"/>
      <c r="V86" s="300"/>
      <c r="W86" s="300"/>
      <c r="X86" s="300"/>
      <c r="Y86" s="300"/>
      <c r="Z86" s="300"/>
      <c r="AA86" s="300"/>
      <c r="AB86" s="300"/>
      <c r="AC86" s="300"/>
      <c r="AD86" s="300"/>
      <c r="AE86" s="300"/>
      <c r="AF86" s="300"/>
      <c r="AG86" s="300"/>
      <c r="AH86" s="300"/>
      <c r="AI86" s="300"/>
      <c r="AJ86" s="300"/>
      <c r="AK86" s="300"/>
    </row>
    <row r="87" spans="3:37" s="295" customFormat="1" hidden="1" outlineLevel="1" x14ac:dyDescent="0.3">
      <c r="C87" s="295" t="s">
        <v>101</v>
      </c>
      <c r="E87" s="319"/>
      <c r="F87" s="298"/>
      <c r="G87" s="318"/>
      <c r="H87" s="318"/>
      <c r="I87" s="318"/>
      <c r="J87" s="318"/>
      <c r="K87" s="318"/>
      <c r="L87" s="305"/>
      <c r="M87" s="305"/>
      <c r="N87" s="305"/>
      <c r="O87" s="305"/>
      <c r="P87" s="306"/>
      <c r="R87" s="300"/>
      <c r="S87" s="300"/>
      <c r="T87" s="300"/>
      <c r="U87" s="300"/>
      <c r="V87" s="300"/>
      <c r="W87" s="300" t="e">
        <f>IF(Assumptions!$E$93=2,SUM(R85:W85),0)</f>
        <v>#REF!</v>
      </c>
      <c r="X87" s="300"/>
      <c r="Y87" s="300"/>
      <c r="Z87" s="300"/>
      <c r="AA87" s="300"/>
      <c r="AB87" s="300"/>
      <c r="AC87" s="300" t="e">
        <f>IF(Assumptions!$E$93=2,SUM(X85:AC85),SUM(Hypothetical!R85:AC85))</f>
        <v>#REF!</v>
      </c>
      <c r="AD87" s="300"/>
      <c r="AE87" s="300"/>
      <c r="AF87" s="300"/>
      <c r="AG87" s="300"/>
      <c r="AH87" s="300"/>
      <c r="AI87" s="300"/>
      <c r="AJ87" s="300"/>
      <c r="AK87" s="300"/>
    </row>
    <row r="88" spans="3:37" s="295" customFormat="1" hidden="1" outlineLevel="1" x14ac:dyDescent="0.3">
      <c r="C88" s="295" t="s">
        <v>102</v>
      </c>
      <c r="E88" s="319"/>
      <c r="F88" s="298"/>
      <c r="G88" s="318"/>
      <c r="H88" s="318"/>
      <c r="I88" s="318"/>
      <c r="J88" s="318"/>
      <c r="K88" s="318"/>
      <c r="L88" s="305"/>
      <c r="M88" s="305"/>
      <c r="N88" s="305"/>
      <c r="O88" s="305"/>
      <c r="P88" s="306"/>
      <c r="Q88" s="300">
        <f>-Assumptions!$E$70</f>
        <v>-25</v>
      </c>
      <c r="R88" s="300">
        <f>R87+IF(R3=Assumptions!$E$57,Assumptions!$E$70,0)</f>
        <v>0</v>
      </c>
      <c r="S88" s="300">
        <f>S87+IF(S3=Assumptions!$E$57,Assumptions!$E$70,0)</f>
        <v>0</v>
      </c>
      <c r="T88" s="300">
        <f>T87+IF(T3=Assumptions!$E$57,Assumptions!$E$70,0)</f>
        <v>0</v>
      </c>
      <c r="U88" s="300">
        <f>U87+IF(U3=Assumptions!$E$57,Assumptions!$E$70,0)</f>
        <v>0</v>
      </c>
      <c r="V88" s="300">
        <f>V87+IF(V3=Assumptions!$E$57,Assumptions!$E$70,0)</f>
        <v>0</v>
      </c>
      <c r="W88" s="300" t="e">
        <f>W87+IF(W3=Assumptions!$E$57,Assumptions!$E$70,0)</f>
        <v>#REF!</v>
      </c>
      <c r="X88" s="300">
        <f>X87+IF(X3=Assumptions!$E$57,Assumptions!$E$70,0)</f>
        <v>0</v>
      </c>
      <c r="Y88" s="300">
        <f>Y87+IF(Y3=Assumptions!$E$57,Assumptions!$E$70,0)</f>
        <v>0</v>
      </c>
      <c r="Z88" s="300">
        <f>Z87+IF(Z3=Assumptions!$E$57,Assumptions!$E$70,0)</f>
        <v>0</v>
      </c>
      <c r="AA88" s="300">
        <f>AA87+IF(AA3=Assumptions!$E$57,Assumptions!$E$70,0)</f>
        <v>0</v>
      </c>
      <c r="AB88" s="300">
        <f>AB87+IF(AB3=Assumptions!$E$57,Assumptions!$E$70,0)</f>
        <v>0</v>
      </c>
      <c r="AC88" s="300" t="e">
        <f>AC87+IF(AC3=Assumptions!$E$57,Assumptions!$E$70,0)</f>
        <v>#REF!</v>
      </c>
      <c r="AD88" s="300"/>
      <c r="AE88" s="300"/>
      <c r="AF88" s="300"/>
      <c r="AG88" s="300"/>
      <c r="AH88" s="300"/>
      <c r="AI88" s="300"/>
      <c r="AJ88" s="300"/>
      <c r="AK88" s="300"/>
    </row>
    <row r="89" spans="3:37" s="295" customFormat="1" hidden="1" outlineLevel="1" x14ac:dyDescent="0.3">
      <c r="E89" s="319"/>
      <c r="F89" s="298"/>
      <c r="G89" s="318"/>
      <c r="H89" s="318"/>
      <c r="I89" s="318"/>
      <c r="J89" s="318"/>
      <c r="K89" s="318"/>
      <c r="L89" s="305"/>
      <c r="M89" s="305"/>
      <c r="N89" s="305"/>
      <c r="O89" s="305"/>
      <c r="P89" s="306"/>
      <c r="Q89" s="300"/>
      <c r="R89" s="300"/>
      <c r="S89" s="300"/>
      <c r="T89" s="300"/>
      <c r="U89" s="300"/>
      <c r="V89" s="300"/>
      <c r="W89" s="300"/>
      <c r="X89" s="300"/>
      <c r="Y89" s="300"/>
      <c r="Z89" s="300"/>
      <c r="AA89" s="300"/>
      <c r="AB89" s="300"/>
      <c r="AC89" s="300"/>
      <c r="AD89" s="300"/>
      <c r="AE89" s="300"/>
      <c r="AF89" s="300"/>
      <c r="AG89" s="300"/>
      <c r="AH89" s="300"/>
      <c r="AI89" s="300"/>
      <c r="AJ89" s="300"/>
      <c r="AK89" s="300"/>
    </row>
    <row r="90" spans="3:37" s="295" customFormat="1" hidden="1" outlineLevel="1" x14ac:dyDescent="0.3">
      <c r="C90" s="320" t="s">
        <v>98</v>
      </c>
      <c r="D90" s="321"/>
      <c r="E90" s="322" t="e">
        <f>(1+IRR(Q88:AC88,0.2))^12-1</f>
        <v>#VALUE!</v>
      </c>
      <c r="F90" s="299"/>
      <c r="G90" s="318"/>
      <c r="H90" s="318"/>
      <c r="I90" s="318"/>
      <c r="J90" s="318"/>
      <c r="K90" s="318"/>
      <c r="L90" s="305"/>
      <c r="M90" s="305"/>
      <c r="N90" s="305"/>
      <c r="O90" s="305"/>
      <c r="P90" s="306"/>
      <c r="Q90" s="300"/>
      <c r="R90" s="300"/>
      <c r="S90" s="300"/>
      <c r="T90" s="300"/>
      <c r="U90" s="300"/>
      <c r="V90" s="300"/>
      <c r="W90" s="300"/>
      <c r="X90" s="300"/>
      <c r="Y90" s="300"/>
      <c r="Z90" s="300"/>
      <c r="AA90" s="300"/>
      <c r="AB90" s="300"/>
      <c r="AC90" s="300"/>
      <c r="AD90" s="300"/>
      <c r="AE90" s="300"/>
      <c r="AF90" s="300"/>
      <c r="AG90" s="300"/>
      <c r="AH90" s="300"/>
      <c r="AI90" s="300"/>
      <c r="AJ90" s="300"/>
      <c r="AK90" s="300"/>
    </row>
    <row r="91" spans="3:37" s="295" customFormat="1" hidden="1" outlineLevel="1" x14ac:dyDescent="0.3">
      <c r="E91" s="297"/>
      <c r="F91" s="298"/>
      <c r="G91" s="318"/>
      <c r="H91" s="318"/>
      <c r="I91" s="318"/>
      <c r="J91" s="318"/>
      <c r="K91" s="318"/>
      <c r="L91" s="305"/>
      <c r="M91" s="305"/>
      <c r="N91" s="305"/>
      <c r="O91" s="305"/>
      <c r="P91" s="306"/>
      <c r="Q91" s="300"/>
      <c r="R91" s="300"/>
      <c r="S91" s="300"/>
      <c r="T91" s="300"/>
      <c r="U91" s="300"/>
      <c r="V91" s="300"/>
      <c r="W91" s="300"/>
      <c r="X91" s="300"/>
      <c r="Y91" s="300"/>
      <c r="Z91" s="300"/>
      <c r="AA91" s="300"/>
      <c r="AB91" s="300"/>
      <c r="AC91" s="300"/>
      <c r="AD91" s="300"/>
      <c r="AE91" s="300"/>
      <c r="AF91" s="300"/>
      <c r="AG91" s="300"/>
      <c r="AH91" s="300"/>
      <c r="AI91" s="300"/>
      <c r="AJ91" s="300"/>
      <c r="AK91" s="300"/>
    </row>
    <row r="92" spans="3:37" s="295" customFormat="1" hidden="1" outlineLevel="1" x14ac:dyDescent="0.3">
      <c r="C92" s="296" t="s">
        <v>28</v>
      </c>
      <c r="E92" s="297"/>
      <c r="F92" s="298"/>
      <c r="G92" s="318"/>
      <c r="H92" s="318"/>
      <c r="I92" s="318"/>
      <c r="J92" s="318"/>
      <c r="K92" s="318"/>
      <c r="L92" s="305"/>
      <c r="M92" s="305"/>
      <c r="N92" s="305"/>
      <c r="O92" s="305"/>
      <c r="P92" s="306"/>
      <c r="Q92" s="300"/>
      <c r="R92" s="300"/>
      <c r="S92" s="300"/>
      <c r="T92" s="300"/>
      <c r="U92" s="300"/>
      <c r="V92" s="300"/>
      <c r="W92" s="300"/>
      <c r="X92" s="300"/>
      <c r="Y92" s="300"/>
      <c r="Z92" s="300"/>
      <c r="AA92" s="300"/>
      <c r="AB92" s="300"/>
      <c r="AC92" s="300"/>
      <c r="AD92" s="300"/>
      <c r="AE92" s="300"/>
      <c r="AF92" s="300"/>
      <c r="AG92" s="300"/>
      <c r="AH92" s="300"/>
      <c r="AI92" s="300"/>
      <c r="AJ92" s="300"/>
      <c r="AK92" s="300"/>
    </row>
    <row r="93" spans="3:37" s="295" customFormat="1" hidden="1" outlineLevel="1" x14ac:dyDescent="0.3">
      <c r="C93" s="295" t="s">
        <v>85</v>
      </c>
      <c r="E93" s="302" t="e">
        <f>SUM(R93:AC93)</f>
        <v>#REF!</v>
      </c>
      <c r="F93" s="303"/>
      <c r="G93" s="304" t="e">
        <f t="shared" ref="G93:G97" si="39">SUM(R93:AC93)</f>
        <v>#REF!</v>
      </c>
      <c r="H93" s="304" t="e">
        <f>SUM(#REF!)</f>
        <v>#REF!</v>
      </c>
      <c r="I93" s="304" t="e">
        <f>SUM(#REF!)</f>
        <v>#REF!</v>
      </c>
      <c r="J93" s="304" t="e">
        <f>SUM(#REF!)</f>
        <v>#REF!</v>
      </c>
      <c r="K93" s="304" t="e">
        <f>SUM(#REF!)</f>
        <v>#REF!</v>
      </c>
      <c r="L93" s="305"/>
      <c r="M93" s="305"/>
      <c r="N93" s="305"/>
      <c r="O93" s="305"/>
      <c r="P93" s="306"/>
      <c r="Q93" s="300"/>
      <c r="R93" s="307" t="e">
        <f>#REF!-#REF!/((1+Assumptions!$E$80)^(Assumptions!$E$63/12))</f>
        <v>#REF!</v>
      </c>
      <c r="S93" s="307" t="e">
        <f>#REF!-#REF!/((1+Assumptions!$E$80)^(Assumptions!$E$63/12))</f>
        <v>#REF!</v>
      </c>
      <c r="T93" s="307" t="e">
        <f>#REF!-#REF!/((1+Assumptions!$E$80)^(Assumptions!$E$63/12))</f>
        <v>#REF!</v>
      </c>
      <c r="U93" s="307" t="e">
        <f>#REF!-#REF!/((1+Assumptions!$E$80)^(Assumptions!$E$63/12))</f>
        <v>#REF!</v>
      </c>
      <c r="V93" s="307" t="e">
        <f>#REF!-#REF!/((1+Assumptions!$E$80)^(Assumptions!$E$63/12))</f>
        <v>#REF!</v>
      </c>
      <c r="W93" s="307" t="e">
        <f>#REF!-#REF!/((1+Assumptions!$E$80)^(Assumptions!$E$63/12))</f>
        <v>#REF!</v>
      </c>
      <c r="X93" s="307" t="e">
        <f>#REF!-#REF!/((1+Assumptions!$E$80)^(Assumptions!$E$63/12))</f>
        <v>#REF!</v>
      </c>
      <c r="Y93" s="307" t="e">
        <f>#REF!-#REF!/((1+Assumptions!$E$80)^(Assumptions!$E$63/12))</f>
        <v>#REF!</v>
      </c>
      <c r="Z93" s="307" t="e">
        <f>#REF!-#REF!/((1+Assumptions!$E$80)^(Assumptions!$E$63/12))</f>
        <v>#REF!</v>
      </c>
      <c r="AA93" s="307" t="e">
        <f>#REF!-#REF!/((1+Assumptions!$E$80)^(Assumptions!$E$63/12))</f>
        <v>#REF!</v>
      </c>
      <c r="AB93" s="307" t="e">
        <f>#REF!-#REF!/((1+Assumptions!$E$80)^(Assumptions!$E$63/12))</f>
        <v>#REF!</v>
      </c>
      <c r="AC93" s="307" t="e">
        <f>#REF!-#REF!/((1+Assumptions!$E$80)^(Assumptions!$E$63/12))</f>
        <v>#REF!</v>
      </c>
      <c r="AD93" s="307"/>
      <c r="AE93" s="307"/>
      <c r="AF93" s="307"/>
      <c r="AG93" s="307"/>
      <c r="AH93" s="307"/>
      <c r="AI93" s="307"/>
      <c r="AJ93" s="307"/>
      <c r="AK93" s="307"/>
    </row>
    <row r="94" spans="3:37" s="295" customFormat="1" hidden="1" outlineLevel="1" x14ac:dyDescent="0.3">
      <c r="C94" s="295" t="s">
        <v>86</v>
      </c>
      <c r="E94" s="302" t="e">
        <f>SUM(R94:AC94)</f>
        <v>#REF!</v>
      </c>
      <c r="F94" s="303"/>
      <c r="G94" s="304" t="e">
        <f t="shared" si="39"/>
        <v>#REF!</v>
      </c>
      <c r="H94" s="304" t="e">
        <f>SUM(#REF!)</f>
        <v>#REF!</v>
      </c>
      <c r="I94" s="304" t="e">
        <f>SUM(#REF!)</f>
        <v>#REF!</v>
      </c>
      <c r="J94" s="304" t="e">
        <f>SUM(#REF!)</f>
        <v>#REF!</v>
      </c>
      <c r="K94" s="304" t="e">
        <f>SUM(#REF!)</f>
        <v>#REF!</v>
      </c>
      <c r="L94" s="305"/>
      <c r="M94" s="305"/>
      <c r="N94" s="305"/>
      <c r="O94" s="305"/>
      <c r="P94" s="306"/>
      <c r="Q94" s="300"/>
      <c r="R94" s="307" t="e">
        <f>#REF!-#REF!/((1+Assumptions!$E$80)^(Assumptions!#REF!/12))</f>
        <v>#REF!</v>
      </c>
      <c r="S94" s="307" t="e">
        <f>#REF!-#REF!/((1+Assumptions!$E$80)^(Assumptions!#REF!/12))</f>
        <v>#REF!</v>
      </c>
      <c r="T94" s="307" t="e">
        <f>#REF!-#REF!/((1+Assumptions!$E$80)^(Assumptions!#REF!/12))</f>
        <v>#REF!</v>
      </c>
      <c r="U94" s="307" t="e">
        <f>#REF!-#REF!/((1+Assumptions!$E$80)^(Assumptions!#REF!/12))</f>
        <v>#REF!</v>
      </c>
      <c r="V94" s="307" t="e">
        <f>#REF!-#REF!/((1+Assumptions!$E$80)^(Assumptions!#REF!/12))</f>
        <v>#REF!</v>
      </c>
      <c r="W94" s="307" t="e">
        <f>#REF!-#REF!/((1+Assumptions!$E$80)^(Assumptions!#REF!/12))</f>
        <v>#REF!</v>
      </c>
      <c r="X94" s="307" t="e">
        <f>#REF!-#REF!/((1+Assumptions!$E$80)^(Assumptions!#REF!/12))</f>
        <v>#REF!</v>
      </c>
      <c r="Y94" s="307" t="e">
        <f>#REF!-#REF!/((1+Assumptions!$E$80)^(Assumptions!#REF!/12))</f>
        <v>#REF!</v>
      </c>
      <c r="Z94" s="307" t="e">
        <f>#REF!-#REF!/((1+Assumptions!$E$80)^(Assumptions!#REF!/12))</f>
        <v>#REF!</v>
      </c>
      <c r="AA94" s="307" t="e">
        <f>#REF!-#REF!/((1+Assumptions!$E$80)^(Assumptions!#REF!/12))</f>
        <v>#REF!</v>
      </c>
      <c r="AB94" s="307" t="e">
        <f>#REF!-#REF!/((1+Assumptions!$E$80)^(Assumptions!#REF!/12))</f>
        <v>#REF!</v>
      </c>
      <c r="AC94" s="307" t="e">
        <f>#REF!-#REF!/((1+Assumptions!$E$80)^(Assumptions!#REF!/12))</f>
        <v>#REF!</v>
      </c>
      <c r="AD94" s="307"/>
      <c r="AE94" s="307"/>
      <c r="AF94" s="307"/>
      <c r="AG94" s="307"/>
      <c r="AH94" s="307"/>
      <c r="AI94" s="307"/>
      <c r="AJ94" s="307"/>
      <c r="AK94" s="307"/>
    </row>
    <row r="95" spans="3:37" s="295" customFormat="1" hidden="1" outlineLevel="1" x14ac:dyDescent="0.3">
      <c r="C95" s="295" t="s">
        <v>182</v>
      </c>
      <c r="E95" s="302" t="e">
        <f>SUM(R95:AC95)</f>
        <v>#REF!</v>
      </c>
      <c r="F95" s="303"/>
      <c r="G95" s="304" t="e">
        <f t="shared" si="39"/>
        <v>#REF!</v>
      </c>
      <c r="H95" s="304" t="e">
        <f>SUM(#REF!)</f>
        <v>#REF!</v>
      </c>
      <c r="I95" s="304" t="e">
        <f>SUM(#REF!)</f>
        <v>#REF!</v>
      </c>
      <c r="J95" s="304" t="e">
        <f>SUM(#REF!)</f>
        <v>#REF!</v>
      </c>
      <c r="K95" s="304" t="e">
        <f>SUM(#REF!)</f>
        <v>#REF!</v>
      </c>
      <c r="L95" s="305"/>
      <c r="M95" s="305"/>
      <c r="N95" s="305"/>
      <c r="O95" s="305"/>
      <c r="P95" s="306"/>
      <c r="Q95" s="300"/>
      <c r="R95" s="307" t="e">
        <f>MAX(#REF!*Assumptions!$E$86/12,0)</f>
        <v>#REF!</v>
      </c>
      <c r="S95" s="307" t="e">
        <f>MAX(#REF!*Assumptions!$E$86/12,0)</f>
        <v>#REF!</v>
      </c>
      <c r="T95" s="307" t="e">
        <f>MAX(#REF!*Assumptions!$E$86/12,0)</f>
        <v>#REF!</v>
      </c>
      <c r="U95" s="307" t="e">
        <f>MAX(#REF!*Assumptions!$E$86/12,0)</f>
        <v>#REF!</v>
      </c>
      <c r="V95" s="307" t="e">
        <f>MAX(#REF!*Assumptions!$E$86/12,0)</f>
        <v>#REF!</v>
      </c>
      <c r="W95" s="307" t="e">
        <f>MAX(#REF!*Assumptions!$E$86/12,0)</f>
        <v>#REF!</v>
      </c>
      <c r="X95" s="307" t="e">
        <f>MAX(#REF!*Assumptions!$E$86/12,0)</f>
        <v>#REF!</v>
      </c>
      <c r="Y95" s="307" t="e">
        <f>MAX(#REF!*Assumptions!$E$86/12,0)</f>
        <v>#REF!</v>
      </c>
      <c r="Z95" s="307" t="e">
        <f>MAX(#REF!*Assumptions!$E$86/12,0)</f>
        <v>#REF!</v>
      </c>
      <c r="AA95" s="307" t="e">
        <f>MAX(#REF!*Assumptions!$E$86/12,0)</f>
        <v>#REF!</v>
      </c>
      <c r="AB95" s="307" t="e">
        <f>MAX(#REF!*Assumptions!$E$86/12,0)</f>
        <v>#REF!</v>
      </c>
      <c r="AC95" s="307" t="e">
        <f>MAX(#REF!*Assumptions!$E$86/12,0)</f>
        <v>#REF!</v>
      </c>
      <c r="AD95" s="307"/>
      <c r="AE95" s="307"/>
      <c r="AF95" s="307"/>
      <c r="AG95" s="307"/>
      <c r="AH95" s="307"/>
      <c r="AI95" s="307"/>
      <c r="AJ95" s="307"/>
      <c r="AK95" s="307"/>
    </row>
    <row r="96" spans="3:37" s="295" customFormat="1" hidden="1" outlineLevel="1" x14ac:dyDescent="0.3">
      <c r="C96" s="308" t="s">
        <v>183</v>
      </c>
      <c r="D96" s="309"/>
      <c r="E96" s="310" t="e">
        <f>SUM(R96:AC96)</f>
        <v>#REF!</v>
      </c>
      <c r="F96" s="311"/>
      <c r="G96" s="312" t="e">
        <f t="shared" si="39"/>
        <v>#REF!</v>
      </c>
      <c r="H96" s="313" t="e">
        <f>SUM(#REF!)</f>
        <v>#REF!</v>
      </c>
      <c r="I96" s="313" t="e">
        <f>SUM(#REF!)</f>
        <v>#REF!</v>
      </c>
      <c r="J96" s="313" t="e">
        <f>SUM(#REF!)</f>
        <v>#REF!</v>
      </c>
      <c r="K96" s="313" t="e">
        <f>SUM(#REF!)</f>
        <v>#REF!</v>
      </c>
      <c r="L96" s="314"/>
      <c r="M96" s="314"/>
      <c r="N96" s="314"/>
      <c r="O96" s="314"/>
      <c r="P96" s="315"/>
      <c r="Q96" s="316"/>
      <c r="R96" s="317" t="e">
        <f>-#REF!*(Assumptions!$E$90/12)</f>
        <v>#REF!</v>
      </c>
      <c r="S96" s="317" t="e">
        <f>-#REF!*(Assumptions!$E$90/12)</f>
        <v>#REF!</v>
      </c>
      <c r="T96" s="317" t="e">
        <f>-#REF!*(Assumptions!$E$90/12)</f>
        <v>#REF!</v>
      </c>
      <c r="U96" s="317" t="e">
        <f>-#REF!*(Assumptions!$E$90/12)</f>
        <v>#REF!</v>
      </c>
      <c r="V96" s="317" t="e">
        <f>-#REF!*(Assumptions!$E$90/12)</f>
        <v>#REF!</v>
      </c>
      <c r="W96" s="317" t="e">
        <f>-#REF!*(Assumptions!$E$90/12)</f>
        <v>#REF!</v>
      </c>
      <c r="X96" s="317" t="e">
        <f>-#REF!*(Assumptions!$E$90/12)</f>
        <v>#REF!</v>
      </c>
      <c r="Y96" s="317" t="e">
        <f>-#REF!*(Assumptions!$E$90/12)</f>
        <v>#REF!</v>
      </c>
      <c r="Z96" s="317" t="e">
        <f>-#REF!*(Assumptions!$E$90/12)</f>
        <v>#REF!</v>
      </c>
      <c r="AA96" s="317" t="e">
        <f>-#REF!*(Assumptions!$E$90/12)</f>
        <v>#REF!</v>
      </c>
      <c r="AB96" s="317" t="e">
        <f>-#REF!*(Assumptions!$E$90/12)</f>
        <v>#REF!</v>
      </c>
      <c r="AC96" s="317" t="e">
        <f>-#REF!*(Assumptions!$E$90/12)</f>
        <v>#REF!</v>
      </c>
      <c r="AD96" s="317"/>
      <c r="AE96" s="317"/>
      <c r="AF96" s="317"/>
      <c r="AG96" s="317"/>
      <c r="AH96" s="317"/>
      <c r="AI96" s="317"/>
      <c r="AJ96" s="317"/>
      <c r="AK96" s="317"/>
    </row>
    <row r="97" spans="1:37" s="295" customFormat="1" hidden="1" outlineLevel="1" x14ac:dyDescent="0.3">
      <c r="C97" s="295" t="s">
        <v>87</v>
      </c>
      <c r="E97" s="302" t="e">
        <f>SUM(R97:AC97)</f>
        <v>#REF!</v>
      </c>
      <c r="F97" s="303"/>
      <c r="G97" s="304" t="e">
        <f t="shared" si="39"/>
        <v>#REF!</v>
      </c>
      <c r="H97" s="304" t="e">
        <f>SUM(#REF!)</f>
        <v>#REF!</v>
      </c>
      <c r="I97" s="304" t="e">
        <f>SUM(#REF!)</f>
        <v>#REF!</v>
      </c>
      <c r="J97" s="304" t="e">
        <f>SUM(#REF!)</f>
        <v>#REF!</v>
      </c>
      <c r="K97" s="304" t="e">
        <f>SUM(#REF!)</f>
        <v>#REF!</v>
      </c>
      <c r="L97" s="305"/>
      <c r="M97" s="305"/>
      <c r="N97" s="305"/>
      <c r="O97" s="305"/>
      <c r="P97" s="306"/>
      <c r="Q97" s="300"/>
      <c r="R97" s="307" t="e">
        <f>SUM(R93:R96)</f>
        <v>#REF!</v>
      </c>
      <c r="S97" s="307" t="e">
        <f t="shared" ref="S97:AC97" si="40">SUM(S93:S96)</f>
        <v>#REF!</v>
      </c>
      <c r="T97" s="307" t="e">
        <f t="shared" si="40"/>
        <v>#REF!</v>
      </c>
      <c r="U97" s="307" t="e">
        <f t="shared" si="40"/>
        <v>#REF!</v>
      </c>
      <c r="V97" s="307" t="e">
        <f t="shared" si="40"/>
        <v>#REF!</v>
      </c>
      <c r="W97" s="307" t="e">
        <f t="shared" si="40"/>
        <v>#REF!</v>
      </c>
      <c r="X97" s="307" t="e">
        <f t="shared" si="40"/>
        <v>#REF!</v>
      </c>
      <c r="Y97" s="307" t="e">
        <f t="shared" si="40"/>
        <v>#REF!</v>
      </c>
      <c r="Z97" s="307" t="e">
        <f t="shared" si="40"/>
        <v>#REF!</v>
      </c>
      <c r="AA97" s="307" t="e">
        <f t="shared" si="40"/>
        <v>#REF!</v>
      </c>
      <c r="AB97" s="307" t="e">
        <f t="shared" si="40"/>
        <v>#REF!</v>
      </c>
      <c r="AC97" s="307" t="e">
        <f t="shared" si="40"/>
        <v>#REF!</v>
      </c>
      <c r="AD97" s="307"/>
      <c r="AE97" s="307"/>
      <c r="AF97" s="307"/>
      <c r="AG97" s="307"/>
      <c r="AH97" s="307"/>
      <c r="AI97" s="307"/>
      <c r="AJ97" s="307"/>
      <c r="AK97" s="307"/>
    </row>
    <row r="98" spans="1:37" s="295" customFormat="1" hidden="1" outlineLevel="1" x14ac:dyDescent="0.3">
      <c r="E98" s="297"/>
      <c r="F98" s="298"/>
      <c r="G98" s="305"/>
      <c r="H98" s="305"/>
      <c r="I98" s="305"/>
      <c r="J98" s="305"/>
      <c r="K98" s="305"/>
      <c r="L98" s="305"/>
      <c r="M98" s="305"/>
      <c r="N98" s="305"/>
      <c r="O98" s="305"/>
      <c r="P98" s="306"/>
      <c r="Q98" s="300"/>
      <c r="R98" s="300"/>
      <c r="S98" s="300"/>
      <c r="T98" s="300"/>
      <c r="U98" s="300"/>
      <c r="V98" s="300"/>
      <c r="W98" s="300"/>
      <c r="X98" s="300"/>
      <c r="Y98" s="300"/>
      <c r="Z98" s="300"/>
      <c r="AA98" s="300"/>
      <c r="AB98" s="300"/>
      <c r="AC98" s="300"/>
      <c r="AD98" s="300"/>
      <c r="AE98" s="300"/>
      <c r="AF98" s="300"/>
      <c r="AG98" s="300"/>
      <c r="AH98" s="300"/>
      <c r="AI98" s="300"/>
      <c r="AJ98" s="300"/>
      <c r="AK98" s="300"/>
    </row>
    <row r="99" spans="1:37" s="295" customFormat="1" hidden="1" outlineLevel="1" x14ac:dyDescent="0.3">
      <c r="C99" s="295" t="s">
        <v>103</v>
      </c>
      <c r="E99" s="319"/>
      <c r="F99" s="298"/>
      <c r="G99" s="305"/>
      <c r="H99" s="305"/>
      <c r="I99" s="305"/>
      <c r="J99" s="305"/>
      <c r="K99" s="305"/>
      <c r="L99" s="305"/>
      <c r="M99" s="305"/>
      <c r="N99" s="305"/>
      <c r="O99" s="305"/>
      <c r="P99" s="306"/>
      <c r="Q99" s="300"/>
      <c r="R99" s="300" t="e">
        <f>R97</f>
        <v>#REF!</v>
      </c>
      <c r="S99" s="300" t="e">
        <f t="shared" ref="S99:AC99" si="41">S97</f>
        <v>#REF!</v>
      </c>
      <c r="T99" s="300" t="e">
        <f t="shared" si="41"/>
        <v>#REF!</v>
      </c>
      <c r="U99" s="300" t="e">
        <f t="shared" si="41"/>
        <v>#REF!</v>
      </c>
      <c r="V99" s="300" t="e">
        <f t="shared" si="41"/>
        <v>#REF!</v>
      </c>
      <c r="W99" s="300" t="e">
        <f t="shared" si="41"/>
        <v>#REF!</v>
      </c>
      <c r="X99" s="300" t="e">
        <f t="shared" si="41"/>
        <v>#REF!</v>
      </c>
      <c r="Y99" s="300" t="e">
        <f t="shared" si="41"/>
        <v>#REF!</v>
      </c>
      <c r="Z99" s="300" t="e">
        <f t="shared" si="41"/>
        <v>#REF!</v>
      </c>
      <c r="AA99" s="300" t="e">
        <f t="shared" si="41"/>
        <v>#REF!</v>
      </c>
      <c r="AB99" s="300" t="e">
        <f t="shared" si="41"/>
        <v>#REF!</v>
      </c>
      <c r="AC99" s="300" t="e">
        <f t="shared" si="41"/>
        <v>#REF!</v>
      </c>
      <c r="AD99" s="300"/>
      <c r="AE99" s="300"/>
      <c r="AF99" s="300"/>
      <c r="AG99" s="300"/>
      <c r="AH99" s="300"/>
      <c r="AI99" s="300"/>
      <c r="AJ99" s="300"/>
      <c r="AK99" s="300"/>
    </row>
    <row r="100" spans="1:37" s="295" customFormat="1" hidden="1" outlineLevel="1" x14ac:dyDescent="0.3">
      <c r="E100" s="319"/>
      <c r="F100" s="298"/>
      <c r="G100" s="305"/>
      <c r="H100" s="305"/>
      <c r="I100" s="305"/>
      <c r="J100" s="305"/>
      <c r="K100" s="305"/>
      <c r="L100" s="305"/>
      <c r="M100" s="305"/>
      <c r="N100" s="305"/>
      <c r="O100" s="305"/>
      <c r="P100" s="306"/>
      <c r="Q100" s="300"/>
      <c r="R100" s="300"/>
      <c r="S100" s="300"/>
      <c r="T100" s="300"/>
      <c r="U100" s="300"/>
      <c r="V100" s="300"/>
      <c r="W100" s="300"/>
      <c r="X100" s="300"/>
      <c r="Y100" s="300"/>
      <c r="Z100" s="300"/>
      <c r="AA100" s="300"/>
      <c r="AB100" s="300"/>
      <c r="AC100" s="300"/>
      <c r="AD100" s="300"/>
      <c r="AE100" s="300"/>
      <c r="AF100" s="300"/>
      <c r="AG100" s="300"/>
      <c r="AH100" s="300"/>
      <c r="AI100" s="300"/>
      <c r="AJ100" s="300"/>
      <c r="AK100" s="300"/>
    </row>
    <row r="101" spans="1:37" s="295" customFormat="1" hidden="1" outlineLevel="1" x14ac:dyDescent="0.3">
      <c r="C101" s="320" t="s">
        <v>119</v>
      </c>
      <c r="D101" s="321"/>
      <c r="E101" s="322" t="e">
        <f>SUM(R99:AC99)/AVERAGE(#REF!)</f>
        <v>#REF!</v>
      </c>
      <c r="F101" s="299"/>
      <c r="G101" s="323" t="e">
        <f>SUM(R99:AC99)/AVERAGE(#REF!)</f>
        <v>#REF!</v>
      </c>
      <c r="H101" s="323" t="e">
        <f>SUM(#REF!)/AVERAGE(#REF!)</f>
        <v>#REF!</v>
      </c>
      <c r="I101" s="323" t="e">
        <f>SUM(#REF!)/AVERAGE(#REF!)</f>
        <v>#REF!</v>
      </c>
      <c r="J101" s="323" t="e">
        <f>SUM(#REF!)/AVERAGE(#REF!)</f>
        <v>#REF!</v>
      </c>
      <c r="K101" s="323" t="e">
        <f>SUM(#REF!)/AVERAGE(#REF!)</f>
        <v>#REF!</v>
      </c>
      <c r="L101" s="305"/>
      <c r="M101" s="305"/>
      <c r="N101" s="305"/>
      <c r="O101" s="305"/>
      <c r="P101" s="306"/>
      <c r="Q101" s="300"/>
      <c r="R101" s="300"/>
      <c r="S101" s="300"/>
      <c r="T101" s="300"/>
      <c r="U101" s="300"/>
      <c r="V101" s="300"/>
      <c r="W101" s="300"/>
      <c r="X101" s="300"/>
      <c r="Y101" s="300"/>
      <c r="Z101" s="300"/>
      <c r="AA101" s="300"/>
      <c r="AB101" s="300"/>
      <c r="AC101" s="300"/>
      <c r="AD101" s="300"/>
      <c r="AE101" s="300"/>
      <c r="AF101" s="300"/>
      <c r="AG101" s="300"/>
      <c r="AH101" s="300"/>
      <c r="AI101" s="300"/>
      <c r="AJ101" s="300"/>
      <c r="AK101" s="300"/>
    </row>
    <row r="102" spans="1:37" s="295" customFormat="1" hidden="1" outlineLevel="1" x14ac:dyDescent="0.3">
      <c r="E102" s="324"/>
      <c r="F102" s="298"/>
      <c r="G102" s="305"/>
      <c r="H102" s="305"/>
      <c r="I102" s="305"/>
      <c r="J102" s="305"/>
      <c r="K102" s="305"/>
      <c r="L102" s="305"/>
      <c r="M102" s="305"/>
      <c r="N102" s="305"/>
      <c r="O102" s="305"/>
      <c r="P102" s="306"/>
      <c r="Q102" s="300"/>
      <c r="R102" s="300"/>
      <c r="S102" s="300"/>
      <c r="T102" s="300"/>
      <c r="U102" s="300"/>
      <c r="V102" s="300"/>
      <c r="W102" s="300"/>
      <c r="X102" s="300"/>
      <c r="Y102" s="300"/>
      <c r="Z102" s="300"/>
      <c r="AA102" s="300"/>
      <c r="AB102" s="300"/>
      <c r="AC102" s="300"/>
      <c r="AD102" s="300"/>
      <c r="AE102" s="300"/>
      <c r="AF102" s="300"/>
      <c r="AG102" s="300"/>
      <c r="AH102" s="300"/>
      <c r="AI102" s="300"/>
      <c r="AJ102" s="300"/>
      <c r="AK102" s="300"/>
    </row>
    <row r="103" spans="1:37" s="295" customFormat="1" hidden="1" outlineLevel="1" x14ac:dyDescent="0.3">
      <c r="C103" s="296" t="s">
        <v>185</v>
      </c>
      <c r="E103" s="297"/>
      <c r="F103" s="298"/>
      <c r="G103" s="305"/>
      <c r="H103" s="305"/>
      <c r="I103" s="305"/>
      <c r="J103" s="305"/>
      <c r="K103" s="305"/>
      <c r="L103" s="305"/>
      <c r="M103" s="305"/>
      <c r="N103" s="305"/>
      <c r="O103" s="305"/>
      <c r="P103" s="306"/>
      <c r="Q103" s="300"/>
      <c r="R103" s="307"/>
      <c r="S103" s="307"/>
      <c r="T103" s="307"/>
      <c r="U103" s="307"/>
      <c r="V103" s="307"/>
      <c r="W103" s="307"/>
      <c r="X103" s="307"/>
      <c r="Y103" s="307"/>
      <c r="Z103" s="307"/>
      <c r="AA103" s="307"/>
      <c r="AB103" s="307"/>
      <c r="AC103" s="307"/>
      <c r="AD103" s="307"/>
      <c r="AE103" s="307"/>
      <c r="AF103" s="307"/>
      <c r="AG103" s="307"/>
      <c r="AH103" s="307"/>
      <c r="AI103" s="307"/>
      <c r="AJ103" s="307"/>
      <c r="AK103" s="307"/>
    </row>
    <row r="104" spans="1:37" s="295" customFormat="1" hidden="1" outlineLevel="1" x14ac:dyDescent="0.3">
      <c r="C104" s="295" t="s">
        <v>61</v>
      </c>
      <c r="E104" s="302" t="e">
        <f>SUM(R104:AC104)</f>
        <v>#REF!</v>
      </c>
      <c r="F104" s="303"/>
      <c r="G104" s="304" t="e">
        <f t="shared" ref="G104:G106" si="42">SUM(R104:AC104)</f>
        <v>#REF!</v>
      </c>
      <c r="H104" s="304" t="e">
        <f>SUM(#REF!)</f>
        <v>#REF!</v>
      </c>
      <c r="I104" s="304" t="e">
        <f>SUM(#REF!)</f>
        <v>#REF!</v>
      </c>
      <c r="J104" s="304" t="e">
        <f>SUM(#REF!)</f>
        <v>#REF!</v>
      </c>
      <c r="K104" s="304" t="e">
        <f>SUM(#REF!)</f>
        <v>#REF!</v>
      </c>
      <c r="L104" s="305"/>
      <c r="M104" s="305"/>
      <c r="N104" s="305"/>
      <c r="O104" s="305"/>
      <c r="P104" s="306"/>
      <c r="Q104" s="300"/>
      <c r="R104" s="307">
        <f>IF(R3&gt;Assumptions!$E$63,HLOOKUP(R$3-Assumptions!$E$63,Hypothetical!$R$3:$AC$11,8)*(1+Assumptions!#REF!)^(Assumptions!$E$63/12),0)-R25</f>
        <v>0.125</v>
      </c>
      <c r="S104" s="307">
        <f>IF(S3&gt;Assumptions!$E$63,HLOOKUP(S$3-Assumptions!$E$63,Hypothetical!$R$3:$AC$11,8)*(1+Assumptions!#REF!)^(Assumptions!$E$63/12),0)-S25</f>
        <v>0.125</v>
      </c>
      <c r="T104" s="307">
        <f>IF(T3&gt;Assumptions!$E$63,HLOOKUP(T$3-Assumptions!$E$63,Hypothetical!$R$3:$AC$11,8)*(1+Assumptions!#REF!)^(Assumptions!$E$63/12),0)-T25</f>
        <v>0.125</v>
      </c>
      <c r="U104" s="307" t="e">
        <f>IF(U3&gt;Assumptions!$E$63,HLOOKUP(U$3-Assumptions!$E$63,Hypothetical!$R$3:$AC$11,8)*(1+Assumptions!#REF!)^(Assumptions!$E$63/12),0)-U25</f>
        <v>#REF!</v>
      </c>
      <c r="V104" s="307" t="e">
        <f>IF(V3&gt;Assumptions!$E$63,HLOOKUP(V$3-Assumptions!$E$63,Hypothetical!$R$3:$AC$11,8)*(1+Assumptions!#REF!)^(Assumptions!$E$63/12),0)-V25</f>
        <v>#REF!</v>
      </c>
      <c r="W104" s="307" t="e">
        <f>IF(W3&gt;Assumptions!$E$63,HLOOKUP(W$3-Assumptions!$E$63,Hypothetical!$R$3:$AC$11,8)*(1+Assumptions!#REF!)^(Assumptions!$E$63/12),0)-W25</f>
        <v>#REF!</v>
      </c>
      <c r="X104" s="307" t="e">
        <f>IF(X3&gt;Assumptions!$E$63,HLOOKUP(X$3-Assumptions!$E$63,Hypothetical!$R$3:$AC$11,8)*(1+Assumptions!#REF!)^(Assumptions!$E$63/12),0)-X25</f>
        <v>#REF!</v>
      </c>
      <c r="Y104" s="307" t="e">
        <f>IF(Y3&gt;Assumptions!$E$63,HLOOKUP(Y$3-Assumptions!$E$63,Hypothetical!$R$3:$AC$11,8)*(1+Assumptions!#REF!)^(Assumptions!$E$63/12),0)-Y25</f>
        <v>#REF!</v>
      </c>
      <c r="Z104" s="307" t="e">
        <f>IF(Z3&gt;Assumptions!$E$63,HLOOKUP(Z$3-Assumptions!$E$63,Hypothetical!$R$3:$AC$11,8)*(1+Assumptions!#REF!)^(Assumptions!$E$63/12),0)-Z25</f>
        <v>#REF!</v>
      </c>
      <c r="AA104" s="307" t="e">
        <f>IF(AA3&gt;Assumptions!$E$63,HLOOKUP(AA$3-Assumptions!$E$63,Hypothetical!$R$3:$AC$11,8)*(1+Assumptions!#REF!)^(Assumptions!$E$63/12),0)-AA25</f>
        <v>#REF!</v>
      </c>
      <c r="AB104" s="307" t="e">
        <f>IF(AB3&gt;Assumptions!$E$63,HLOOKUP(AB$3-Assumptions!$E$63,Hypothetical!$R$3:$AC$11,8)*(1+Assumptions!#REF!)^(Assumptions!$E$63/12),0)-AB25</f>
        <v>#REF!</v>
      </c>
      <c r="AC104" s="307" t="e">
        <f>IF(AC3&gt;Assumptions!$E$63,HLOOKUP(AC$3-Assumptions!$E$63,Hypothetical!$R$3:$AC$11,8)*(1+Assumptions!#REF!)^(Assumptions!$E$63/12),0)-AC25</f>
        <v>#REF!</v>
      </c>
      <c r="AD104" s="307"/>
      <c r="AE104" s="307"/>
      <c r="AF104" s="307"/>
      <c r="AG104" s="307"/>
      <c r="AH104" s="307"/>
      <c r="AI104" s="307"/>
      <c r="AJ104" s="307"/>
      <c r="AK104" s="307"/>
    </row>
    <row r="105" spans="1:37" s="295" customFormat="1" hidden="1" outlineLevel="1" x14ac:dyDescent="0.3">
      <c r="C105" s="295" t="s">
        <v>60</v>
      </c>
      <c r="E105" s="302" t="e">
        <f>SUM(R105:AC105)</f>
        <v>#REF!</v>
      </c>
      <c r="F105" s="303"/>
      <c r="G105" s="304" t="e">
        <f t="shared" si="42"/>
        <v>#REF!</v>
      </c>
      <c r="H105" s="304" t="e">
        <f>SUM(#REF!)</f>
        <v>#REF!</v>
      </c>
      <c r="I105" s="304" t="e">
        <f>SUM(#REF!)</f>
        <v>#REF!</v>
      </c>
      <c r="J105" s="304" t="e">
        <f>SUM(#REF!)</f>
        <v>#REF!</v>
      </c>
      <c r="K105" s="304" t="e">
        <f>SUM(#REF!)</f>
        <v>#REF!</v>
      </c>
      <c r="L105" s="305"/>
      <c r="M105" s="305"/>
      <c r="N105" s="305"/>
      <c r="O105" s="305"/>
      <c r="P105" s="306"/>
      <c r="Q105" s="300"/>
      <c r="R105" s="307" t="e">
        <f>IF(R$3&gt;Assumptions!#REF!,HLOOKUP(Hypothetical!R$3-Assumptions!#REF!,Hypothetical!$R$3:$AC$11,8),0)*(1+Assumptions!#REF!)^((Assumptions!#REF!-Assumptions!$E$63)/12)*(1-Assumptions!$E$61)-IF(R$3&gt;Assumptions!#REF!,HLOOKUP(Hypothetical!R$3-Assumptions!#REF!,Hypothetical!$R$3:$AC$11,8),0)*(1+Assumptions!$E$80)^((Assumptions!#REF!-Assumptions!$E$63)/12)*(1-Assumptions!$E$61)</f>
        <v>#REF!</v>
      </c>
      <c r="S105" s="307" t="e">
        <f>IF(S$3&gt;Assumptions!#REF!,HLOOKUP(Hypothetical!S$3-Assumptions!#REF!,Hypothetical!$R$3:$AC$11,8),0)*(1+Assumptions!#REF!)^((Assumptions!#REF!-Assumptions!$E$63)/12)*(1-Assumptions!$E$61)-IF(S$3&gt;Assumptions!#REF!,HLOOKUP(Hypothetical!S$3-Assumptions!#REF!,Hypothetical!$R$3:$AC$11,8),0)*(1+Assumptions!$E$80)^((Assumptions!#REF!-Assumptions!$E$63)/12)*(1-Assumptions!$E$61)</f>
        <v>#REF!</v>
      </c>
      <c r="T105" s="307" t="e">
        <f>IF(T$3&gt;Assumptions!#REF!,HLOOKUP(Hypothetical!T$3-Assumptions!#REF!,Hypothetical!$R$3:$AC$11,8),0)*(1+Assumptions!#REF!)^((Assumptions!#REF!-Assumptions!$E$63)/12)*(1-Assumptions!$E$61)-IF(T$3&gt;Assumptions!#REF!,HLOOKUP(Hypothetical!T$3-Assumptions!#REF!,Hypothetical!$R$3:$AC$11,8),0)*(1+Assumptions!$E$80)^((Assumptions!#REF!-Assumptions!$E$63)/12)*(1-Assumptions!$E$61)</f>
        <v>#REF!</v>
      </c>
      <c r="U105" s="307" t="e">
        <f>IF(U$3&gt;Assumptions!#REF!,HLOOKUP(Hypothetical!U$3-Assumptions!#REF!,Hypothetical!$R$3:$AC$11,8),0)*(1+Assumptions!#REF!)^((Assumptions!#REF!-Assumptions!$E$63)/12)*(1-Assumptions!$E$61)-IF(U$3&gt;Assumptions!#REF!,HLOOKUP(Hypothetical!U$3-Assumptions!#REF!,Hypothetical!$R$3:$AC$11,8),0)*(1+Assumptions!$E$80)^((Assumptions!#REF!-Assumptions!$E$63)/12)*(1-Assumptions!$E$61)</f>
        <v>#REF!</v>
      </c>
      <c r="V105" s="307" t="e">
        <f>IF(V$3&gt;Assumptions!#REF!,HLOOKUP(Hypothetical!V$3-Assumptions!#REF!,Hypothetical!$R$3:$AC$11,8),0)*(1+Assumptions!#REF!)^((Assumptions!#REF!-Assumptions!$E$63)/12)*(1-Assumptions!$E$61)-IF(V$3&gt;Assumptions!#REF!,HLOOKUP(Hypothetical!V$3-Assumptions!#REF!,Hypothetical!$R$3:$AC$11,8),0)*(1+Assumptions!$E$80)^((Assumptions!#REF!-Assumptions!$E$63)/12)*(1-Assumptions!$E$61)</f>
        <v>#REF!</v>
      </c>
      <c r="W105" s="307" t="e">
        <f>IF(W$3&gt;Assumptions!#REF!,HLOOKUP(Hypothetical!W$3-Assumptions!#REF!,Hypothetical!$R$3:$AC$11,8),0)*(1+Assumptions!#REF!)^((Assumptions!#REF!-Assumptions!$E$63)/12)*(1-Assumptions!$E$61)-IF(W$3&gt;Assumptions!#REF!,HLOOKUP(Hypothetical!W$3-Assumptions!#REF!,Hypothetical!$R$3:$AC$11,8),0)*(1+Assumptions!$E$80)^((Assumptions!#REF!-Assumptions!$E$63)/12)*(1-Assumptions!$E$61)</f>
        <v>#REF!</v>
      </c>
      <c r="X105" s="307" t="e">
        <f>IF(X$3&gt;Assumptions!#REF!,HLOOKUP(Hypothetical!X$3-Assumptions!#REF!,Hypothetical!$R$3:$AC$11,8),0)*(1+Assumptions!#REF!)^((Assumptions!#REF!-Assumptions!$E$63)/12)*(1-Assumptions!$E$61)-IF(X$3&gt;Assumptions!#REF!,HLOOKUP(Hypothetical!X$3-Assumptions!#REF!,Hypothetical!$R$3:$AC$11,8),0)*(1+Assumptions!$E$80)^((Assumptions!#REF!-Assumptions!$E$63)/12)*(1-Assumptions!$E$61)</f>
        <v>#REF!</v>
      </c>
      <c r="Y105" s="307" t="e">
        <f>IF(Y$3&gt;Assumptions!#REF!,HLOOKUP(Hypothetical!Y$3-Assumptions!#REF!,Hypothetical!$R$3:$AC$11,8),0)*(1+Assumptions!#REF!)^((Assumptions!#REF!-Assumptions!$E$63)/12)*(1-Assumptions!$E$61)-IF(Y$3&gt;Assumptions!#REF!,HLOOKUP(Hypothetical!Y$3-Assumptions!#REF!,Hypothetical!$R$3:$AC$11,8),0)*(1+Assumptions!$E$80)^((Assumptions!#REF!-Assumptions!$E$63)/12)*(1-Assumptions!$E$61)</f>
        <v>#REF!</v>
      </c>
      <c r="Z105" s="307" t="e">
        <f>IF(Z$3&gt;Assumptions!#REF!,HLOOKUP(Hypothetical!Z$3-Assumptions!#REF!,Hypothetical!$R$3:$AC$11,8),0)*(1+Assumptions!#REF!)^((Assumptions!#REF!-Assumptions!$E$63)/12)*(1-Assumptions!$E$61)-IF(Z$3&gt;Assumptions!#REF!,HLOOKUP(Hypothetical!Z$3-Assumptions!#REF!,Hypothetical!$R$3:$AC$11,8),0)*(1+Assumptions!$E$80)^((Assumptions!#REF!-Assumptions!$E$63)/12)*(1-Assumptions!$E$61)</f>
        <v>#REF!</v>
      </c>
      <c r="AA105" s="307" t="e">
        <f>IF(AA$3&gt;Assumptions!#REF!,HLOOKUP(Hypothetical!AA$3-Assumptions!#REF!,Hypothetical!$R$3:$AC$11,8),0)*(1+Assumptions!#REF!)^((Assumptions!#REF!-Assumptions!$E$63)/12)*(1-Assumptions!$E$61)-IF(AA$3&gt;Assumptions!#REF!,HLOOKUP(Hypothetical!AA$3-Assumptions!#REF!,Hypothetical!$R$3:$AC$11,8),0)*(1+Assumptions!$E$80)^((Assumptions!#REF!-Assumptions!$E$63)/12)*(1-Assumptions!$E$61)</f>
        <v>#REF!</v>
      </c>
      <c r="AB105" s="307" t="e">
        <f>IF(AB$3&gt;Assumptions!#REF!,HLOOKUP(Hypothetical!AB$3-Assumptions!#REF!,Hypothetical!$R$3:$AC$11,8),0)*(1+Assumptions!#REF!)^((Assumptions!#REF!-Assumptions!$E$63)/12)*(1-Assumptions!$E$61)-IF(AB$3&gt;Assumptions!#REF!,HLOOKUP(Hypothetical!AB$3-Assumptions!#REF!,Hypothetical!$R$3:$AC$11,8),0)*(1+Assumptions!$E$80)^((Assumptions!#REF!-Assumptions!$E$63)/12)*(1-Assumptions!$E$61)</f>
        <v>#REF!</v>
      </c>
      <c r="AC105" s="307" t="e">
        <f>IF(AC$3&gt;Assumptions!#REF!,HLOOKUP(Hypothetical!AC$3-Assumptions!#REF!,Hypothetical!$R$3:$AC$11,8),0)*(1+Assumptions!#REF!)^((Assumptions!#REF!-Assumptions!$E$63)/12)*(1-Assumptions!$E$61)-IF(AC$3&gt;Assumptions!#REF!,HLOOKUP(Hypothetical!AC$3-Assumptions!#REF!,Hypothetical!$R$3:$AC$11,8),0)*(1+Assumptions!$E$80)^((Assumptions!#REF!-Assumptions!$E$63)/12)*(1-Assumptions!$E$61)</f>
        <v>#REF!</v>
      </c>
      <c r="AD105" s="307"/>
      <c r="AE105" s="307"/>
      <c r="AF105" s="307"/>
      <c r="AG105" s="307"/>
      <c r="AH105" s="307"/>
      <c r="AI105" s="307"/>
      <c r="AJ105" s="307"/>
      <c r="AK105" s="307"/>
    </row>
    <row r="106" spans="1:37" s="295" customFormat="1" hidden="1" outlineLevel="1" x14ac:dyDescent="0.3">
      <c r="C106" s="309" t="s">
        <v>186</v>
      </c>
      <c r="D106" s="309"/>
      <c r="E106" s="310" t="e">
        <f>SUM(R106:AC106)</f>
        <v>#REF!</v>
      </c>
      <c r="F106" s="311"/>
      <c r="G106" s="312" t="e">
        <f t="shared" si="42"/>
        <v>#REF!</v>
      </c>
      <c r="H106" s="313" t="e">
        <f>SUM(#REF!)</f>
        <v>#REF!</v>
      </c>
      <c r="I106" s="313" t="e">
        <f>SUM(#REF!)</f>
        <v>#REF!</v>
      </c>
      <c r="J106" s="313" t="e">
        <f>SUM(#REF!)</f>
        <v>#REF!</v>
      </c>
      <c r="K106" s="313" t="e">
        <f>SUM(#REF!)</f>
        <v>#REF!</v>
      </c>
      <c r="L106" s="314"/>
      <c r="M106" s="314"/>
      <c r="N106" s="314"/>
      <c r="O106" s="314"/>
      <c r="P106" s="315"/>
      <c r="Q106" s="316"/>
      <c r="R106" s="317" t="e">
        <f t="shared" ref="R106:AC106" si="43">-SUM(R84,R96)</f>
        <v>#REF!</v>
      </c>
      <c r="S106" s="317" t="e">
        <f t="shared" si="43"/>
        <v>#REF!</v>
      </c>
      <c r="T106" s="317" t="e">
        <f t="shared" si="43"/>
        <v>#REF!</v>
      </c>
      <c r="U106" s="317" t="e">
        <f t="shared" si="43"/>
        <v>#REF!</v>
      </c>
      <c r="V106" s="317" t="e">
        <f t="shared" si="43"/>
        <v>#REF!</v>
      </c>
      <c r="W106" s="317" t="e">
        <f t="shared" si="43"/>
        <v>#REF!</v>
      </c>
      <c r="X106" s="317" t="e">
        <f t="shared" si="43"/>
        <v>#REF!</v>
      </c>
      <c r="Y106" s="317" t="e">
        <f t="shared" si="43"/>
        <v>#REF!</v>
      </c>
      <c r="Z106" s="317" t="e">
        <f t="shared" si="43"/>
        <v>#REF!</v>
      </c>
      <c r="AA106" s="317" t="e">
        <f t="shared" si="43"/>
        <v>#REF!</v>
      </c>
      <c r="AB106" s="317" t="e">
        <f t="shared" si="43"/>
        <v>#REF!</v>
      </c>
      <c r="AC106" s="317" t="e">
        <f t="shared" si="43"/>
        <v>#REF!</v>
      </c>
      <c r="AD106" s="317"/>
      <c r="AE106" s="317"/>
      <c r="AF106" s="317"/>
      <c r="AG106" s="317"/>
      <c r="AH106" s="317"/>
      <c r="AI106" s="317"/>
      <c r="AJ106" s="317"/>
      <c r="AK106" s="317"/>
    </row>
    <row r="107" spans="1:37" s="295" customFormat="1" hidden="1" outlineLevel="1" x14ac:dyDescent="0.3">
      <c r="C107" s="295" t="s">
        <v>184</v>
      </c>
      <c r="E107" s="302" t="e">
        <f>SUM(R107:AC107)</f>
        <v>#REF!</v>
      </c>
      <c r="F107" s="303"/>
      <c r="G107" s="304" t="e">
        <f>SUM(G104:G106)</f>
        <v>#REF!</v>
      </c>
      <c r="H107" s="304" t="e">
        <f>SUM(H104:H106)</f>
        <v>#REF!</v>
      </c>
      <c r="I107" s="304" t="e">
        <f>SUM(I104:I106)</f>
        <v>#REF!</v>
      </c>
      <c r="J107" s="304" t="e">
        <f>SUM(J104:J106)</f>
        <v>#REF!</v>
      </c>
      <c r="K107" s="304" t="e">
        <f>SUM(#REF!)</f>
        <v>#REF!</v>
      </c>
      <c r="L107" s="305"/>
      <c r="M107" s="305"/>
      <c r="N107" s="305"/>
      <c r="O107" s="305"/>
      <c r="P107" s="306"/>
      <c r="Q107" s="300"/>
      <c r="R107" s="307" t="e">
        <f t="shared" ref="R107:AC107" si="44">SUM(R104:R106)</f>
        <v>#REF!</v>
      </c>
      <c r="S107" s="307" t="e">
        <f t="shared" si="44"/>
        <v>#REF!</v>
      </c>
      <c r="T107" s="307" t="e">
        <f t="shared" si="44"/>
        <v>#REF!</v>
      </c>
      <c r="U107" s="307" t="e">
        <f t="shared" si="44"/>
        <v>#REF!</v>
      </c>
      <c r="V107" s="307" t="e">
        <f t="shared" si="44"/>
        <v>#REF!</v>
      </c>
      <c r="W107" s="307" t="e">
        <f t="shared" si="44"/>
        <v>#REF!</v>
      </c>
      <c r="X107" s="307" t="e">
        <f t="shared" si="44"/>
        <v>#REF!</v>
      </c>
      <c r="Y107" s="307" t="e">
        <f t="shared" si="44"/>
        <v>#REF!</v>
      </c>
      <c r="Z107" s="307" t="e">
        <f t="shared" si="44"/>
        <v>#REF!</v>
      </c>
      <c r="AA107" s="307" t="e">
        <f t="shared" si="44"/>
        <v>#REF!</v>
      </c>
      <c r="AB107" s="307" t="e">
        <f t="shared" si="44"/>
        <v>#REF!</v>
      </c>
      <c r="AC107" s="307" t="e">
        <f t="shared" si="44"/>
        <v>#REF!</v>
      </c>
      <c r="AD107" s="307"/>
      <c r="AE107" s="307"/>
      <c r="AF107" s="307"/>
      <c r="AG107" s="307"/>
      <c r="AH107" s="307"/>
      <c r="AI107" s="307"/>
      <c r="AJ107" s="307"/>
      <c r="AK107" s="307"/>
    </row>
    <row r="108" spans="1:37" collapsed="1" x14ac:dyDescent="0.3">
      <c r="C108" s="30"/>
      <c r="E108" s="92"/>
      <c r="F108" s="63"/>
      <c r="G108" s="91"/>
      <c r="H108" s="91"/>
      <c r="I108" s="91"/>
      <c r="J108" s="91"/>
      <c r="K108" s="89"/>
      <c r="L108" s="89"/>
      <c r="M108" s="89"/>
      <c r="N108" s="89"/>
      <c r="O108" s="89"/>
      <c r="P108" s="90"/>
      <c r="Q108" s="165"/>
      <c r="R108" s="91"/>
      <c r="S108" s="91"/>
      <c r="T108" s="91"/>
      <c r="U108" s="91"/>
      <c r="V108" s="91"/>
      <c r="W108" s="91"/>
      <c r="X108" s="91"/>
      <c r="Y108" s="91"/>
      <c r="Z108" s="91"/>
      <c r="AA108" s="91"/>
      <c r="AB108" s="91"/>
      <c r="AC108" s="91"/>
      <c r="AD108" s="91"/>
      <c r="AE108" s="91"/>
      <c r="AF108" s="91"/>
      <c r="AG108" s="91"/>
      <c r="AH108" s="91"/>
      <c r="AI108" s="91"/>
      <c r="AJ108" s="91"/>
      <c r="AK108" s="91"/>
    </row>
    <row r="109" spans="1:37" s="48" customFormat="1" x14ac:dyDescent="0.3">
      <c r="A109" s="47" t="s">
        <v>24</v>
      </c>
      <c r="B109" s="46" t="s">
        <v>35</v>
      </c>
      <c r="C109" s="47"/>
      <c r="D109" s="47"/>
      <c r="E109" s="81"/>
      <c r="F109" s="64"/>
      <c r="G109" s="47"/>
      <c r="H109" s="47"/>
      <c r="I109" s="47"/>
      <c r="J109" s="47"/>
      <c r="K109" s="47"/>
      <c r="L109" s="47"/>
      <c r="M109" s="47"/>
      <c r="N109" s="47"/>
      <c r="O109" s="47"/>
      <c r="P109" s="47"/>
      <c r="Q109" s="169"/>
      <c r="R109" s="47"/>
      <c r="S109" s="47"/>
      <c r="T109" s="47"/>
      <c r="U109" s="47"/>
      <c r="V109" s="47"/>
      <c r="W109" s="47"/>
      <c r="X109" s="47"/>
      <c r="Y109" s="47"/>
      <c r="Z109" s="47"/>
      <c r="AA109" s="47"/>
      <c r="AB109" s="47"/>
      <c r="AC109" s="47"/>
      <c r="AD109" s="47"/>
      <c r="AE109" s="47"/>
      <c r="AF109" s="47"/>
      <c r="AG109" s="47"/>
      <c r="AH109" s="47"/>
      <c r="AI109" s="47"/>
      <c r="AJ109" s="47"/>
      <c r="AK109" s="47"/>
    </row>
    <row r="110" spans="1:37" x14ac:dyDescent="0.3">
      <c r="D110" s="40"/>
      <c r="E110" s="85"/>
      <c r="F110" s="94"/>
      <c r="G110" s="95"/>
      <c r="I110" s="96"/>
      <c r="J110" s="97"/>
      <c r="K110" s="96"/>
      <c r="M110" s="98"/>
      <c r="O110" s="99"/>
      <c r="Q110" s="165"/>
      <c r="R110" s="41"/>
      <c r="S110" s="41"/>
      <c r="T110" s="41"/>
      <c r="U110" s="41"/>
      <c r="V110" s="41"/>
      <c r="W110" s="41"/>
      <c r="X110" s="41"/>
      <c r="Y110" s="41"/>
    </row>
    <row r="111" spans="1:37" s="262" customFormat="1" ht="22.5" hidden="1" customHeight="1" outlineLevel="1" x14ac:dyDescent="0.45">
      <c r="C111" s="260" t="s">
        <v>50</v>
      </c>
      <c r="D111" s="263"/>
      <c r="E111" s="265" t="s">
        <v>47</v>
      </c>
      <c r="F111" s="264"/>
      <c r="G111" s="346" t="s">
        <v>48</v>
      </c>
      <c r="H111" s="347"/>
      <c r="I111" s="347"/>
      <c r="J111" s="347"/>
      <c r="K111" s="347"/>
      <c r="L111" s="348"/>
      <c r="M111" s="266" t="s">
        <v>49</v>
      </c>
      <c r="N111" s="261" t="s">
        <v>58</v>
      </c>
      <c r="O111" s="344" t="s">
        <v>118</v>
      </c>
      <c r="P111" s="345"/>
      <c r="Q111" s="345"/>
      <c r="R111" s="345"/>
      <c r="S111" s="345"/>
      <c r="T111" s="345"/>
      <c r="V111" s="267"/>
      <c r="W111" s="267"/>
      <c r="X111" s="267"/>
      <c r="Y111" s="267"/>
      <c r="Z111" s="267"/>
      <c r="AA111" s="267"/>
      <c r="AB111" s="267"/>
      <c r="AC111" s="267"/>
      <c r="AD111" s="267"/>
      <c r="AE111" s="267"/>
      <c r="AF111" s="267"/>
      <c r="AG111" s="267"/>
      <c r="AH111" s="267"/>
      <c r="AI111" s="267"/>
      <c r="AJ111" s="267"/>
      <c r="AK111" s="267"/>
    </row>
    <row r="112" spans="1:37" s="262" customFormat="1" ht="20.25" hidden="1" outlineLevel="1" x14ac:dyDescent="0.45">
      <c r="C112" s="268"/>
      <c r="D112" s="269"/>
      <c r="E112" s="271"/>
      <c r="F112" s="270"/>
      <c r="G112" s="274" t="s">
        <v>5</v>
      </c>
      <c r="H112" s="271" t="s">
        <v>6</v>
      </c>
      <c r="I112" s="271" t="s">
        <v>7</v>
      </c>
      <c r="J112" s="271" t="s">
        <v>8</v>
      </c>
      <c r="K112" s="271" t="s">
        <v>9</v>
      </c>
      <c r="L112" s="271" t="s">
        <v>123</v>
      </c>
      <c r="M112" s="272"/>
      <c r="N112" s="273"/>
      <c r="O112" s="274" t="s">
        <v>5</v>
      </c>
      <c r="P112" s="271" t="s">
        <v>6</v>
      </c>
      <c r="Q112" s="271" t="s">
        <v>7</v>
      </c>
      <c r="R112" s="271" t="s">
        <v>8</v>
      </c>
      <c r="S112" s="271" t="s">
        <v>9</v>
      </c>
      <c r="T112" s="271" t="s">
        <v>123</v>
      </c>
      <c r="V112" s="267"/>
      <c r="W112" s="267"/>
      <c r="X112" s="267"/>
      <c r="Y112" s="267"/>
      <c r="Z112" s="267"/>
      <c r="AA112" s="267"/>
      <c r="AB112" s="267"/>
      <c r="AC112" s="267"/>
      <c r="AD112" s="267"/>
      <c r="AE112" s="267"/>
      <c r="AF112" s="267"/>
      <c r="AG112" s="267"/>
      <c r="AH112" s="267"/>
      <c r="AI112" s="267"/>
      <c r="AJ112" s="267"/>
      <c r="AK112" s="267"/>
    </row>
    <row r="113" spans="2:37" hidden="1" outlineLevel="1" x14ac:dyDescent="0.3">
      <c r="C113" s="143" t="s">
        <v>69</v>
      </c>
      <c r="D113" s="144"/>
      <c r="E113" s="149" t="e">
        <f>#REF!</f>
        <v>#REF!</v>
      </c>
      <c r="F113" s="136"/>
      <c r="G113" s="275" t="e">
        <f>E85</f>
        <v>#REF!</v>
      </c>
      <c r="H113" s="149" t="e">
        <f>G85</f>
        <v>#REF!</v>
      </c>
      <c r="I113" s="149" t="e">
        <f>H85</f>
        <v>#REF!</v>
      </c>
      <c r="J113" s="149" t="e">
        <f>I85</f>
        <v>#REF!</v>
      </c>
      <c r="K113" s="149" t="e">
        <f>J85</f>
        <v>#REF!</v>
      </c>
      <c r="L113" s="149" t="e">
        <f>K85</f>
        <v>#REF!</v>
      </c>
      <c r="M113" s="150" t="e">
        <f>(E113+G113)/E113</f>
        <v>#REF!</v>
      </c>
      <c r="N113" s="151" t="e">
        <f>E90</f>
        <v>#VALUE!</v>
      </c>
      <c r="O113" s="154"/>
      <c r="P113" s="154"/>
      <c r="Q113" s="154"/>
      <c r="R113" s="154"/>
      <c r="S113" s="154"/>
      <c r="T113" s="154"/>
      <c r="V113" s="41"/>
      <c r="W113" s="41"/>
      <c r="X113" s="41"/>
      <c r="Y113" s="41"/>
      <c r="Z113" s="41"/>
      <c r="AA113" s="41"/>
      <c r="AB113" s="41"/>
      <c r="AC113" s="41"/>
      <c r="AD113" s="41"/>
      <c r="AE113" s="41"/>
      <c r="AF113" s="41"/>
      <c r="AG113" s="41"/>
      <c r="AH113" s="41"/>
      <c r="AI113" s="41"/>
      <c r="AJ113" s="41"/>
      <c r="AK113" s="41"/>
    </row>
    <row r="114" spans="2:37" hidden="1" outlineLevel="1" x14ac:dyDescent="0.3">
      <c r="C114" s="145" t="s">
        <v>28</v>
      </c>
      <c r="D114" s="146"/>
      <c r="E114" s="149" t="e">
        <f>#REF!</f>
        <v>#REF!</v>
      </c>
      <c r="F114" s="156"/>
      <c r="G114" s="275" t="e">
        <f>E97</f>
        <v>#REF!</v>
      </c>
      <c r="H114" s="149" t="e">
        <f>G97</f>
        <v>#REF!</v>
      </c>
      <c r="I114" s="149" t="e">
        <f>H97</f>
        <v>#REF!</v>
      </c>
      <c r="J114" s="149" t="e">
        <f>I97</f>
        <v>#REF!</v>
      </c>
      <c r="K114" s="149" t="e">
        <f>J97</f>
        <v>#REF!</v>
      </c>
      <c r="L114" s="149" t="e">
        <f>K97</f>
        <v>#REF!</v>
      </c>
      <c r="M114" s="150" t="e">
        <f>(E114+G114)/E114</f>
        <v>#REF!</v>
      </c>
      <c r="N114" s="154"/>
      <c r="O114" s="151" t="e">
        <f t="shared" ref="O114:T114" si="45">E101</f>
        <v>#REF!</v>
      </c>
      <c r="P114" s="151">
        <f t="shared" si="45"/>
        <v>0</v>
      </c>
      <c r="Q114" s="151" t="e">
        <f t="shared" si="45"/>
        <v>#REF!</v>
      </c>
      <c r="R114" s="151" t="e">
        <f t="shared" si="45"/>
        <v>#REF!</v>
      </c>
      <c r="S114" s="151" t="e">
        <f t="shared" si="45"/>
        <v>#REF!</v>
      </c>
      <c r="T114" s="151" t="e">
        <f t="shared" si="45"/>
        <v>#REF!</v>
      </c>
      <c r="V114" s="41"/>
      <c r="W114" s="41"/>
      <c r="X114" s="41"/>
      <c r="Y114" s="41"/>
      <c r="Z114" s="41"/>
      <c r="AA114" s="41"/>
      <c r="AB114" s="41"/>
      <c r="AC114" s="41"/>
      <c r="AD114" s="41"/>
      <c r="AE114" s="41"/>
      <c r="AF114" s="41"/>
      <c r="AG114" s="41"/>
      <c r="AH114" s="41"/>
      <c r="AI114" s="41"/>
      <c r="AJ114" s="41"/>
      <c r="AK114" s="41"/>
    </row>
    <row r="115" spans="2:37" hidden="1" outlineLevel="1" x14ac:dyDescent="0.3">
      <c r="C115" s="147" t="s">
        <v>185</v>
      </c>
      <c r="D115" s="148"/>
      <c r="E115" s="152"/>
      <c r="F115" s="157"/>
      <c r="G115" s="276" t="e">
        <f>E107</f>
        <v>#REF!</v>
      </c>
      <c r="H115" s="153" t="e">
        <f>G107</f>
        <v>#REF!</v>
      </c>
      <c r="I115" s="153" t="e">
        <f>H107</f>
        <v>#REF!</v>
      </c>
      <c r="J115" s="153" t="e">
        <f>I107</f>
        <v>#REF!</v>
      </c>
      <c r="K115" s="153" t="e">
        <f>J107</f>
        <v>#REF!</v>
      </c>
      <c r="L115" s="153" t="e">
        <f>K107</f>
        <v>#REF!</v>
      </c>
      <c r="M115" s="152"/>
      <c r="N115" s="154"/>
      <c r="O115" s="154"/>
      <c r="P115" s="154"/>
      <c r="Q115" s="154"/>
      <c r="R115" s="154"/>
      <c r="S115" s="154"/>
      <c r="T115" s="154"/>
      <c r="V115" s="41"/>
      <c r="W115" s="41"/>
      <c r="X115" s="41"/>
      <c r="Y115" s="41"/>
      <c r="Z115" s="41"/>
      <c r="AA115" s="41"/>
      <c r="AB115" s="41"/>
      <c r="AC115" s="41"/>
      <c r="AD115" s="41"/>
      <c r="AE115" s="41"/>
      <c r="AF115" s="41"/>
      <c r="AG115" s="41"/>
      <c r="AH115" s="41"/>
      <c r="AI115" s="41"/>
      <c r="AJ115" s="41"/>
      <c r="AK115" s="41"/>
    </row>
    <row r="116" spans="2:37" hidden="1" outlineLevel="1" x14ac:dyDescent="0.3">
      <c r="D116" s="40"/>
      <c r="E116" s="141"/>
      <c r="F116" s="133"/>
      <c r="G116" s="95"/>
      <c r="I116" s="96"/>
      <c r="J116" s="97"/>
      <c r="K116" s="96"/>
      <c r="M116" s="98"/>
      <c r="O116" s="99"/>
      <c r="Q116" s="165"/>
      <c r="R116" s="41"/>
      <c r="S116" s="41"/>
      <c r="T116" s="41"/>
      <c r="U116" s="41"/>
      <c r="V116" s="41"/>
      <c r="W116" s="41"/>
      <c r="X116" s="41"/>
      <c r="Y116" s="41"/>
    </row>
    <row r="117" spans="2:37" hidden="1" outlineLevel="1" x14ac:dyDescent="0.3">
      <c r="C117" s="35" t="s">
        <v>10</v>
      </c>
      <c r="D117" s="39"/>
      <c r="E117" s="155" t="s">
        <v>36</v>
      </c>
      <c r="F117" s="158"/>
      <c r="G117" s="107" t="s">
        <v>6</v>
      </c>
      <c r="H117" s="107" t="s">
        <v>7</v>
      </c>
      <c r="I117" s="107" t="s">
        <v>8</v>
      </c>
      <c r="J117" s="107" t="s">
        <v>9</v>
      </c>
      <c r="K117" s="107" t="s">
        <v>123</v>
      </c>
      <c r="L117" s="170"/>
      <c r="M117" s="41"/>
      <c r="N117" s="41"/>
      <c r="O117" s="41"/>
      <c r="P117" s="41"/>
      <c r="Q117" s="41"/>
      <c r="R117" s="41"/>
      <c r="S117" s="41"/>
      <c r="T117" s="41"/>
    </row>
    <row r="118" spans="2:37" hidden="1" outlineLevel="1" x14ac:dyDescent="0.3">
      <c r="C118" s="108" t="s">
        <v>76</v>
      </c>
      <c r="D118" s="109"/>
      <c r="E118" s="209">
        <f ca="1">E30</f>
        <v>290.97171790470048</v>
      </c>
      <c r="G118" s="212">
        <f ca="1">G30</f>
        <v>49.339602635072858</v>
      </c>
      <c r="H118" s="213">
        <f ca="1">H30</f>
        <v>146.68516717742014</v>
      </c>
      <c r="I118" s="213">
        <f ca="1">I30</f>
        <v>290.97171790470048</v>
      </c>
      <c r="J118" s="213">
        <f>J30</f>
        <v>0</v>
      </c>
      <c r="K118" s="213">
        <f>K30</f>
        <v>0</v>
      </c>
      <c r="L118" s="167"/>
      <c r="M118" s="41"/>
      <c r="N118" s="41"/>
      <c r="O118" s="41"/>
      <c r="P118" s="41"/>
      <c r="Q118" s="41"/>
      <c r="R118" s="41"/>
      <c r="S118" s="41"/>
      <c r="T118" s="41"/>
    </row>
    <row r="119" spans="2:37" hidden="1" outlineLevel="1" x14ac:dyDescent="0.3">
      <c r="C119" s="113" t="s">
        <v>77</v>
      </c>
      <c r="D119" s="114"/>
      <c r="E119" s="210">
        <f>Assumptions!$E$65</f>
        <v>50</v>
      </c>
      <c r="F119" s="93"/>
      <c r="G119" s="214">
        <f>Assumptions!$E$65</f>
        <v>50</v>
      </c>
      <c r="H119" s="215">
        <f>Assumptions!$E$65</f>
        <v>50</v>
      </c>
      <c r="I119" s="215">
        <f>Assumptions!$E$65</f>
        <v>50</v>
      </c>
      <c r="J119" s="215">
        <f>Assumptions!$E$65</f>
        <v>50</v>
      </c>
      <c r="K119" s="215">
        <f>Assumptions!$E$65</f>
        <v>50</v>
      </c>
      <c r="L119" s="165"/>
    </row>
    <row r="120" spans="2:37" s="59" customFormat="1" hidden="1" outlineLevel="1" x14ac:dyDescent="0.3">
      <c r="C120" s="115" t="s">
        <v>42</v>
      </c>
      <c r="D120" s="116"/>
      <c r="E120" s="211">
        <f t="shared" ref="E120" ca="1" si="46">E119-E118</f>
        <v>-240.97171790470048</v>
      </c>
      <c r="G120" s="216">
        <f ca="1">G119-G118</f>
        <v>0.66039736492714241</v>
      </c>
      <c r="H120" s="217">
        <f t="shared" ref="H120:J120" ca="1" si="47">H119-H118</f>
        <v>-96.685167177420141</v>
      </c>
      <c r="I120" s="217">
        <f t="shared" ca="1" si="47"/>
        <v>-240.97171790470048</v>
      </c>
      <c r="J120" s="217">
        <f t="shared" si="47"/>
        <v>50</v>
      </c>
      <c r="K120" s="217">
        <f t="shared" ref="K120" si="48">K119-K118</f>
        <v>50</v>
      </c>
      <c r="L120" s="171"/>
    </row>
    <row r="121" spans="2:37" hidden="1" outlineLevel="1" x14ac:dyDescent="0.3">
      <c r="B121" s="31"/>
      <c r="C121" s="118"/>
      <c r="D121" s="119"/>
      <c r="E121" s="110"/>
      <c r="G121" s="111"/>
      <c r="H121" s="112"/>
      <c r="I121" s="112"/>
      <c r="J121" s="112"/>
      <c r="K121" s="112"/>
      <c r="L121" s="167"/>
      <c r="M121" s="41"/>
      <c r="N121" s="41"/>
      <c r="O121" s="41"/>
      <c r="P121" s="41"/>
      <c r="Q121" s="41"/>
      <c r="R121" s="41"/>
      <c r="S121" s="41"/>
      <c r="T121" s="41"/>
    </row>
    <row r="122" spans="2:37" hidden="1" outlineLevel="1" x14ac:dyDescent="0.3">
      <c r="C122" s="120" t="s">
        <v>78</v>
      </c>
      <c r="D122" s="119"/>
      <c r="E122" s="209" t="e">
        <f>#REF!</f>
        <v>#REF!</v>
      </c>
      <c r="G122" s="212" t="e">
        <f>#REF!</f>
        <v>#REF!</v>
      </c>
      <c r="H122" s="213" t="e">
        <f>#REF!</f>
        <v>#REF!</v>
      </c>
      <c r="I122" s="213" t="e">
        <f>#REF!</f>
        <v>#REF!</v>
      </c>
      <c r="J122" s="213" t="e">
        <f>#REF!</f>
        <v>#REF!</v>
      </c>
      <c r="K122" s="213" t="e">
        <f>#REF!</f>
        <v>#REF!</v>
      </c>
      <c r="L122" s="167"/>
      <c r="M122" s="41"/>
      <c r="N122" s="41"/>
      <c r="O122" s="41"/>
      <c r="P122" s="41"/>
      <c r="Q122" s="41"/>
      <c r="R122" s="41"/>
      <c r="S122" s="41"/>
      <c r="T122" s="41"/>
    </row>
    <row r="123" spans="2:37" hidden="1" outlineLevel="1" x14ac:dyDescent="0.3">
      <c r="C123" s="113" t="s">
        <v>79</v>
      </c>
      <c r="D123" s="114"/>
      <c r="E123" s="210">
        <f>Assumptions!$E$70</f>
        <v>25</v>
      </c>
      <c r="F123" s="93"/>
      <c r="G123" s="214">
        <f>Assumptions!$E$70</f>
        <v>25</v>
      </c>
      <c r="H123" s="215">
        <f>Assumptions!$E$70</f>
        <v>25</v>
      </c>
      <c r="I123" s="215">
        <f>Assumptions!$E$70</f>
        <v>25</v>
      </c>
      <c r="J123" s="215">
        <f>Assumptions!$E$70</f>
        <v>25</v>
      </c>
      <c r="K123" s="215">
        <f>Assumptions!$E$70</f>
        <v>25</v>
      </c>
      <c r="L123" s="165"/>
    </row>
    <row r="124" spans="2:37" s="59" customFormat="1" hidden="1" outlineLevel="1" x14ac:dyDescent="0.3">
      <c r="C124" s="115" t="s">
        <v>42</v>
      </c>
      <c r="D124" s="116"/>
      <c r="E124" s="211" t="e">
        <f t="shared" ref="E124" si="49">E123-E122</f>
        <v>#REF!</v>
      </c>
      <c r="G124" s="216" t="e">
        <f>G123-G122</f>
        <v>#REF!</v>
      </c>
      <c r="H124" s="217" t="e">
        <f t="shared" ref="H124:J124" si="50">H123-H122</f>
        <v>#REF!</v>
      </c>
      <c r="I124" s="217" t="e">
        <f t="shared" si="50"/>
        <v>#REF!</v>
      </c>
      <c r="J124" s="217" t="e">
        <f t="shared" si="50"/>
        <v>#REF!</v>
      </c>
      <c r="K124" s="217" t="e">
        <f t="shared" ref="K124" si="51">K123-K122</f>
        <v>#REF!</v>
      </c>
      <c r="L124" s="171"/>
    </row>
    <row r="125" spans="2:37" hidden="1" outlineLevel="1" x14ac:dyDescent="0.3">
      <c r="B125" s="31"/>
      <c r="C125" s="118"/>
      <c r="D125" s="119"/>
      <c r="E125" s="110"/>
      <c r="G125" s="111"/>
      <c r="H125" s="112"/>
      <c r="I125" s="112"/>
      <c r="J125" s="112"/>
      <c r="K125" s="112"/>
      <c r="L125" s="167"/>
      <c r="M125" s="41"/>
      <c r="N125" s="41"/>
      <c r="O125" s="41"/>
      <c r="P125" s="41"/>
      <c r="Q125" s="41"/>
      <c r="R125" s="41"/>
      <c r="S125" s="41"/>
      <c r="T125" s="41"/>
    </row>
    <row r="126" spans="2:37" hidden="1" outlineLevel="1" x14ac:dyDescent="0.3">
      <c r="C126" s="120" t="s">
        <v>44</v>
      </c>
      <c r="D126" s="119"/>
      <c r="E126" s="209" t="e">
        <f>#REF!</f>
        <v>#REF!</v>
      </c>
      <c r="G126" s="212" t="e">
        <f>#REF!</f>
        <v>#REF!</v>
      </c>
      <c r="H126" s="213" t="e">
        <f>#REF!</f>
        <v>#REF!</v>
      </c>
      <c r="I126" s="213" t="e">
        <f>#REF!</f>
        <v>#REF!</v>
      </c>
      <c r="J126" s="213" t="e">
        <f>#REF!</f>
        <v>#REF!</v>
      </c>
      <c r="K126" s="213" t="e">
        <f>#REF!</f>
        <v>#REF!</v>
      </c>
      <c r="L126" s="167"/>
      <c r="M126" s="41"/>
      <c r="N126" s="41"/>
      <c r="O126" s="41"/>
      <c r="P126" s="41"/>
      <c r="Q126" s="41"/>
      <c r="R126" s="41"/>
      <c r="S126" s="41"/>
      <c r="T126" s="41"/>
    </row>
    <row r="127" spans="2:37" hidden="1" outlineLevel="1" x14ac:dyDescent="0.3">
      <c r="C127" s="113" t="s">
        <v>46</v>
      </c>
      <c r="D127" s="114"/>
      <c r="E127" s="210">
        <f>Assumptions!$E$69</f>
        <v>25</v>
      </c>
      <c r="F127" s="93"/>
      <c r="G127" s="214">
        <f>Assumptions!$E$69</f>
        <v>25</v>
      </c>
      <c r="H127" s="215">
        <f>Assumptions!$E$69</f>
        <v>25</v>
      </c>
      <c r="I127" s="215">
        <f>Assumptions!$E$69</f>
        <v>25</v>
      </c>
      <c r="J127" s="215">
        <f>Assumptions!$E$69</f>
        <v>25</v>
      </c>
      <c r="K127" s="215">
        <f>Assumptions!$E$69</f>
        <v>25</v>
      </c>
      <c r="L127" s="165"/>
    </row>
    <row r="128" spans="2:37" s="59" customFormat="1" hidden="1" outlineLevel="1" x14ac:dyDescent="0.3">
      <c r="C128" s="121" t="s">
        <v>43</v>
      </c>
      <c r="D128" s="122"/>
      <c r="E128" s="218" t="e">
        <f t="shared" ref="E128" si="52">E127-E126</f>
        <v>#REF!</v>
      </c>
      <c r="F128" s="123"/>
      <c r="G128" s="219" t="e">
        <f>G127-G126</f>
        <v>#REF!</v>
      </c>
      <c r="H128" s="220" t="e">
        <f t="shared" ref="H128:J128" si="53">H127-H126</f>
        <v>#REF!</v>
      </c>
      <c r="I128" s="220" t="e">
        <f t="shared" si="53"/>
        <v>#REF!</v>
      </c>
      <c r="J128" s="220" t="e">
        <f t="shared" si="53"/>
        <v>#REF!</v>
      </c>
      <c r="K128" s="220" t="e">
        <f t="shared" ref="K128" si="54">K127-K126</f>
        <v>#REF!</v>
      </c>
      <c r="L128" s="171"/>
    </row>
    <row r="129" spans="1:37" s="59" customFormat="1" hidden="1" outlineLevel="1" x14ac:dyDescent="0.3">
      <c r="E129" s="124"/>
      <c r="G129" s="117"/>
      <c r="H129" s="117"/>
      <c r="I129" s="117"/>
      <c r="J129" s="117"/>
      <c r="K129" s="117"/>
      <c r="L129" s="171"/>
    </row>
    <row r="130" spans="1:37" hidden="1" outlineLevel="1" x14ac:dyDescent="0.3">
      <c r="C130" s="100" t="s">
        <v>81</v>
      </c>
      <c r="D130" s="101"/>
      <c r="E130" s="105" t="s">
        <v>36</v>
      </c>
      <c r="F130" s="106"/>
      <c r="G130" s="107" t="s">
        <v>6</v>
      </c>
      <c r="H130" s="107" t="s">
        <v>7</v>
      </c>
      <c r="I130" s="107" t="s">
        <v>8</v>
      </c>
      <c r="J130" s="107" t="s">
        <v>9</v>
      </c>
      <c r="K130" s="107" t="s">
        <v>123</v>
      </c>
      <c r="L130" s="165"/>
      <c r="M130" s="41"/>
      <c r="N130" s="41"/>
      <c r="O130" s="41"/>
      <c r="P130" s="41"/>
      <c r="Q130" s="41"/>
      <c r="R130" s="41"/>
      <c r="S130" s="41"/>
      <c r="T130" s="41"/>
    </row>
    <row r="131" spans="1:37" hidden="1" outlineLevel="1" x14ac:dyDescent="0.3">
      <c r="C131" s="73" t="s">
        <v>69</v>
      </c>
      <c r="D131" s="40"/>
      <c r="E131" s="221" t="e">
        <f>E85</f>
        <v>#REF!</v>
      </c>
      <c r="F131" s="94"/>
      <c r="G131" s="221" t="e">
        <f>G85</f>
        <v>#REF!</v>
      </c>
      <c r="H131" s="221" t="e">
        <f>H85</f>
        <v>#REF!</v>
      </c>
      <c r="I131" s="221" t="e">
        <f>I85</f>
        <v>#REF!</v>
      </c>
      <c r="J131" s="221" t="e">
        <f>J85</f>
        <v>#REF!</v>
      </c>
      <c r="K131" s="221" t="e">
        <f>K85</f>
        <v>#REF!</v>
      </c>
      <c r="L131" s="165"/>
      <c r="M131" s="41"/>
      <c r="N131" s="41"/>
      <c r="O131" s="41"/>
      <c r="P131" s="41"/>
      <c r="Q131" s="41"/>
      <c r="R131" s="41"/>
      <c r="S131" s="41"/>
      <c r="T131" s="41"/>
    </row>
    <row r="132" spans="1:37" hidden="1" outlineLevel="1" x14ac:dyDescent="0.3">
      <c r="C132" s="73" t="s">
        <v>28</v>
      </c>
      <c r="D132" s="40"/>
      <c r="E132" s="221" t="e">
        <f>E97</f>
        <v>#REF!</v>
      </c>
      <c r="F132" s="94"/>
      <c r="G132" s="221" t="e">
        <f>G97</f>
        <v>#REF!</v>
      </c>
      <c r="H132" s="221" t="e">
        <f>H97</f>
        <v>#REF!</v>
      </c>
      <c r="I132" s="221" t="e">
        <f>I97</f>
        <v>#REF!</v>
      </c>
      <c r="J132" s="221" t="e">
        <f>J97</f>
        <v>#REF!</v>
      </c>
      <c r="K132" s="221" t="e">
        <f>K97</f>
        <v>#REF!</v>
      </c>
      <c r="L132" s="165"/>
      <c r="M132" s="41"/>
      <c r="N132" s="41"/>
      <c r="O132" s="41"/>
      <c r="P132" s="41"/>
      <c r="Q132" s="41"/>
      <c r="R132" s="41"/>
      <c r="S132" s="41"/>
      <c r="T132" s="41"/>
    </row>
    <row r="133" spans="1:37" hidden="1" outlineLevel="1" x14ac:dyDescent="0.3">
      <c r="C133" s="102" t="s">
        <v>185</v>
      </c>
      <c r="D133" s="103"/>
      <c r="E133" s="222" t="e">
        <f>E107</f>
        <v>#REF!</v>
      </c>
      <c r="F133" s="104"/>
      <c r="G133" s="222" t="e">
        <f>G107</f>
        <v>#REF!</v>
      </c>
      <c r="H133" s="222" t="e">
        <f>H107</f>
        <v>#REF!</v>
      </c>
      <c r="I133" s="222" t="e">
        <f>I107</f>
        <v>#REF!</v>
      </c>
      <c r="J133" s="222" t="e">
        <f>J107</f>
        <v>#REF!</v>
      </c>
      <c r="K133" s="222" t="e">
        <f>K107</f>
        <v>#REF!</v>
      </c>
      <c r="L133" s="165"/>
      <c r="M133" s="41"/>
      <c r="N133" s="41"/>
      <c r="O133" s="41"/>
      <c r="P133" s="41"/>
      <c r="Q133" s="41"/>
      <c r="R133" s="41"/>
      <c r="S133" s="41"/>
      <c r="T133" s="41"/>
    </row>
    <row r="134" spans="1:37" hidden="1" outlineLevel="1" x14ac:dyDescent="0.3">
      <c r="L134" s="165"/>
    </row>
    <row r="135" spans="1:37" hidden="1" outlineLevel="1" x14ac:dyDescent="0.3">
      <c r="C135" s="125" t="s">
        <v>187</v>
      </c>
      <c r="D135" s="126"/>
      <c r="E135" s="127" t="s">
        <v>36</v>
      </c>
      <c r="F135" s="128"/>
      <c r="G135" s="129" t="s">
        <v>6</v>
      </c>
      <c r="H135" s="130" t="s">
        <v>7</v>
      </c>
      <c r="I135" s="130" t="s">
        <v>8</v>
      </c>
      <c r="J135" s="130" t="s">
        <v>9</v>
      </c>
      <c r="K135" s="107" t="s">
        <v>123</v>
      </c>
      <c r="L135" s="165"/>
      <c r="M135" s="41"/>
      <c r="N135" s="41"/>
      <c r="O135" s="41"/>
      <c r="P135" s="41"/>
      <c r="Q135" s="41"/>
      <c r="R135" s="41"/>
      <c r="S135" s="41"/>
      <c r="T135" s="41"/>
    </row>
    <row r="136" spans="1:37" hidden="1" outlineLevel="1" x14ac:dyDescent="0.3">
      <c r="C136" s="131" t="s">
        <v>51</v>
      </c>
      <c r="D136" s="132"/>
      <c r="E136" s="223" t="e">
        <f>AVERAGE(R16:AC16)</f>
        <v>#DIV/0!</v>
      </c>
      <c r="F136" s="133"/>
      <c r="G136" s="225" t="e">
        <f>AVERAGE(R16:AC16)</f>
        <v>#DIV/0!</v>
      </c>
      <c r="H136" s="225" t="e">
        <f>AVERAGE(#REF!)</f>
        <v>#REF!</v>
      </c>
      <c r="I136" s="225" t="e">
        <f>AVERAGE(#REF!)</f>
        <v>#REF!</v>
      </c>
      <c r="J136" s="225" t="e">
        <f>AVERAGE(#REF!)</f>
        <v>#REF!</v>
      </c>
      <c r="K136" s="225" t="e">
        <f>AVERAGE(#REF!)</f>
        <v>#REF!</v>
      </c>
      <c r="L136" s="165"/>
      <c r="M136" s="41"/>
      <c r="N136" s="41"/>
      <c r="O136" s="41"/>
      <c r="P136" s="41"/>
      <c r="Q136" s="41"/>
      <c r="R136" s="41"/>
      <c r="S136" s="41"/>
      <c r="T136" s="41"/>
    </row>
    <row r="137" spans="1:37" hidden="1" outlineLevel="1" x14ac:dyDescent="0.3">
      <c r="C137" s="134" t="s">
        <v>52</v>
      </c>
      <c r="D137" s="135"/>
      <c r="E137" s="224" t="e">
        <f>AVERAGE(R17:AC17)</f>
        <v>#DIV/0!</v>
      </c>
      <c r="F137" s="136"/>
      <c r="G137" s="226" t="e">
        <f>AVERAGE(R17:AC17)</f>
        <v>#DIV/0!</v>
      </c>
      <c r="H137" s="226" t="e">
        <f>AVERAGE(#REF!)</f>
        <v>#REF!</v>
      </c>
      <c r="I137" s="226" t="e">
        <f>AVERAGE(#REF!)</f>
        <v>#REF!</v>
      </c>
      <c r="J137" s="226" t="e">
        <f>AVERAGE(#REF!)</f>
        <v>#REF!</v>
      </c>
      <c r="K137" s="226" t="e">
        <f>AVERAGE(#REF!)</f>
        <v>#REF!</v>
      </c>
      <c r="M137" s="41"/>
      <c r="N137" s="41"/>
      <c r="O137" s="41"/>
      <c r="P137" s="41"/>
      <c r="Q137" s="41"/>
      <c r="R137" s="41"/>
      <c r="S137" s="41"/>
      <c r="T137" s="41"/>
    </row>
    <row r="138" spans="1:37" collapsed="1" x14ac:dyDescent="0.3"/>
    <row r="141" spans="1:37" s="48" customFormat="1" x14ac:dyDescent="0.3">
      <c r="A141" s="47" t="s">
        <v>24</v>
      </c>
      <c r="B141" s="46" t="s">
        <v>37</v>
      </c>
      <c r="C141" s="47"/>
      <c r="D141" s="47"/>
      <c r="E141" s="88"/>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row>
    <row r="143" spans="1:37" x14ac:dyDescent="0.3">
      <c r="R143" s="140">
        <f t="shared" ref="R143:AK143" si="55">R3</f>
        <v>1</v>
      </c>
      <c r="S143" s="140">
        <f t="shared" si="55"/>
        <v>2</v>
      </c>
      <c r="T143" s="140">
        <f t="shared" si="55"/>
        <v>3</v>
      </c>
      <c r="U143" s="140">
        <f t="shared" si="55"/>
        <v>4</v>
      </c>
      <c r="V143" s="140">
        <f t="shared" si="55"/>
        <v>5</v>
      </c>
      <c r="W143" s="140">
        <f t="shared" si="55"/>
        <v>6</v>
      </c>
      <c r="X143" s="140">
        <f t="shared" si="55"/>
        <v>7</v>
      </c>
      <c r="Y143" s="140">
        <f t="shared" si="55"/>
        <v>8</v>
      </c>
      <c r="Z143" s="140">
        <f t="shared" si="55"/>
        <v>9</v>
      </c>
      <c r="AA143" s="140">
        <f t="shared" si="55"/>
        <v>10</v>
      </c>
      <c r="AB143" s="140">
        <f t="shared" si="55"/>
        <v>11</v>
      </c>
      <c r="AC143" s="140">
        <f t="shared" si="55"/>
        <v>12</v>
      </c>
      <c r="AD143" s="140">
        <f t="shared" si="55"/>
        <v>13</v>
      </c>
      <c r="AE143" s="140">
        <f t="shared" si="55"/>
        <v>14</v>
      </c>
      <c r="AF143" s="140">
        <f t="shared" si="55"/>
        <v>15</v>
      </c>
      <c r="AG143" s="140">
        <f t="shared" si="55"/>
        <v>16</v>
      </c>
      <c r="AH143" s="140">
        <f t="shared" si="55"/>
        <v>17</v>
      </c>
      <c r="AI143" s="140">
        <f t="shared" si="55"/>
        <v>18</v>
      </c>
      <c r="AJ143" s="140">
        <f t="shared" si="55"/>
        <v>19</v>
      </c>
      <c r="AK143" s="140">
        <f t="shared" si="55"/>
        <v>20</v>
      </c>
    </row>
    <row r="144" spans="1:37" x14ac:dyDescent="0.3">
      <c r="C144" s="31" t="s">
        <v>188</v>
      </c>
      <c r="G144" s="138"/>
      <c r="H144" s="138"/>
      <c r="I144" s="138"/>
      <c r="J144" s="138"/>
      <c r="K144" s="138"/>
      <c r="L144" s="138"/>
      <c r="M144" s="138"/>
      <c r="N144" s="138"/>
      <c r="O144" s="138"/>
      <c r="P144" s="138"/>
      <c r="Q144" s="139"/>
      <c r="R144" s="335">
        <f>R30</f>
        <v>12.375</v>
      </c>
      <c r="S144" s="335">
        <f t="shared" ref="S144:AC144" si="56">S30</f>
        <v>24.75</v>
      </c>
      <c r="T144" s="335">
        <f t="shared" si="56"/>
        <v>37.125</v>
      </c>
      <c r="U144" s="335">
        <f t="shared" ca="1" si="56"/>
        <v>49.339602635072858</v>
      </c>
      <c r="V144" s="335">
        <f t="shared" ca="1" si="56"/>
        <v>73.846351179985959</v>
      </c>
      <c r="W144" s="335">
        <f t="shared" ca="1" si="56"/>
        <v>98.252100170120656</v>
      </c>
      <c r="X144" s="335">
        <f t="shared" ca="1" si="56"/>
        <v>122.53817328078442</v>
      </c>
      <c r="Y144" s="335">
        <f t="shared" ca="1" si="56"/>
        <v>146.68516717742014</v>
      </c>
      <c r="Z144" s="335">
        <f t="shared" ca="1" si="56"/>
        <v>183.04804622637172</v>
      </c>
      <c r="AA144" s="335">
        <f t="shared" ca="1" si="56"/>
        <v>219.23112196241863</v>
      </c>
      <c r="AB144" s="335">
        <f t="shared" ca="1" si="56"/>
        <v>255.21303196521174</v>
      </c>
      <c r="AC144" s="335">
        <f t="shared" ca="1" si="56"/>
        <v>290.97171790470048</v>
      </c>
      <c r="AD144" s="335"/>
      <c r="AE144" s="335"/>
      <c r="AF144" s="335"/>
      <c r="AG144" s="335"/>
      <c r="AH144" s="335"/>
      <c r="AI144" s="335"/>
      <c r="AJ144" s="335"/>
      <c r="AK144" s="335"/>
    </row>
    <row r="145" spans="3:37" hidden="1" outlineLevel="1" x14ac:dyDescent="0.3">
      <c r="C145" s="31" t="s">
        <v>190</v>
      </c>
      <c r="G145" s="138"/>
      <c r="H145" s="138"/>
      <c r="I145" s="138"/>
      <c r="J145" s="138"/>
      <c r="K145" s="138"/>
      <c r="L145" s="138"/>
      <c r="M145" s="138"/>
      <c r="N145" s="138"/>
      <c r="O145" s="138"/>
      <c r="P145" s="138"/>
      <c r="Q145" s="139"/>
      <c r="R145" s="335"/>
      <c r="S145" s="335"/>
      <c r="T145" s="335"/>
      <c r="U145" s="335"/>
      <c r="V145" s="335"/>
      <c r="W145" s="335"/>
      <c r="X145" s="335"/>
      <c r="Y145" s="335"/>
      <c r="Z145" s="335"/>
      <c r="AA145" s="335"/>
      <c r="AB145" s="335"/>
      <c r="AC145" s="335"/>
      <c r="AD145" s="335"/>
      <c r="AE145" s="335"/>
      <c r="AF145" s="335"/>
      <c r="AG145" s="335"/>
      <c r="AH145" s="335"/>
      <c r="AI145" s="335"/>
      <c r="AJ145" s="335"/>
      <c r="AK145" s="335"/>
    </row>
    <row r="146" spans="3:37" collapsed="1" x14ac:dyDescent="0.3">
      <c r="C146" s="31" t="s">
        <v>192</v>
      </c>
      <c r="G146" s="138"/>
      <c r="H146" s="138"/>
      <c r="I146" s="138"/>
      <c r="J146" s="138"/>
      <c r="K146" s="138"/>
      <c r="L146" s="138"/>
      <c r="M146" s="138"/>
      <c r="N146" s="138"/>
      <c r="O146" s="138"/>
      <c r="P146" s="138"/>
      <c r="R146" s="335">
        <f t="shared" ref="R146:T146" si="57">R67</f>
        <v>0</v>
      </c>
      <c r="S146" s="335">
        <f t="shared" si="57"/>
        <v>5.8781249999999119E-2</v>
      </c>
      <c r="T146" s="335">
        <f t="shared" si="57"/>
        <v>0.18675035156249464</v>
      </c>
      <c r="U146" s="335">
        <f ca="1">U67</f>
        <v>0.11199153450076693</v>
      </c>
      <c r="V146" s="335">
        <f t="shared" ref="V146:AK146" ca="1" si="58">V67</f>
        <v>0.21296076393170438</v>
      </c>
      <c r="W146" s="335">
        <f t="shared" ca="1" si="58"/>
        <v>0.39177627264272985</v>
      </c>
      <c r="X146" s="335">
        <f t="shared" ca="1" si="58"/>
        <v>0.65473344925378285</v>
      </c>
      <c r="Y146" s="335">
        <f t="shared" ca="1" si="58"/>
        <v>0.45657792412367826</v>
      </c>
      <c r="Z146" s="335">
        <f t="shared" ca="1" si="58"/>
        <v>0.90099352552661571</v>
      </c>
      <c r="AA146" s="335">
        <f t="shared" ca="1" si="58"/>
        <v>1.5080126961251779</v>
      </c>
      <c r="AB146" s="335">
        <f t="shared" ca="1" si="58"/>
        <v>2.294983598877792</v>
      </c>
      <c r="AC146" s="335">
        <f t="shared" ca="1" si="58"/>
        <v>2.0943247294418939</v>
      </c>
      <c r="AD146" s="335">
        <f t="shared" si="58"/>
        <v>0</v>
      </c>
      <c r="AE146" s="335">
        <f t="shared" si="58"/>
        <v>0</v>
      </c>
      <c r="AF146" s="335">
        <f t="shared" si="58"/>
        <v>0</v>
      </c>
      <c r="AG146" s="335">
        <f t="shared" si="58"/>
        <v>0</v>
      </c>
      <c r="AH146" s="335">
        <f t="shared" si="58"/>
        <v>0</v>
      </c>
      <c r="AI146" s="335">
        <f t="shared" si="58"/>
        <v>0</v>
      </c>
      <c r="AJ146" s="335">
        <f t="shared" si="58"/>
        <v>0</v>
      </c>
      <c r="AK146" s="335">
        <f t="shared" si="58"/>
        <v>0</v>
      </c>
    </row>
    <row r="147" spans="3:37" x14ac:dyDescent="0.3">
      <c r="C147" s="31" t="s">
        <v>189</v>
      </c>
      <c r="G147" s="138"/>
      <c r="H147" s="138"/>
      <c r="I147" s="138"/>
      <c r="J147" s="138"/>
      <c r="K147" s="138"/>
      <c r="L147" s="138"/>
      <c r="M147" s="138"/>
      <c r="N147" s="138"/>
      <c r="O147" s="138"/>
      <c r="P147" s="138"/>
      <c r="R147" s="335">
        <f>R55</f>
        <v>2.4749999999999996</v>
      </c>
      <c r="S147" s="335">
        <f t="shared" ref="S147:AK147" si="59">S55</f>
        <v>4.6375312499999986</v>
      </c>
      <c r="T147" s="335">
        <f t="shared" si="59"/>
        <v>6.4840784765624981</v>
      </c>
      <c r="U147" s="335">
        <f t="shared" ca="1" si="59"/>
        <v>7.6962024912028424</v>
      </c>
      <c r="V147" s="335">
        <f t="shared" ca="1" si="59"/>
        <v>11.132694241677481</v>
      </c>
      <c r="W147" s="335">
        <f t="shared" ca="1" si="59"/>
        <v>13.832911384581436</v>
      </c>
      <c r="X147" s="335">
        <f t="shared" ca="1" si="59"/>
        <v>15.77267199364343</v>
      </c>
      <c r="Y147" s="335">
        <f t="shared" ca="1" si="59"/>
        <v>16.375656445225683</v>
      </c>
      <c r="Z147" s="335">
        <f t="shared" ca="1" si="59"/>
        <v>19.188919531806999</v>
      </c>
      <c r="AA147" s="335">
        <f t="shared" ca="1" si="59"/>
        <v>20.854049341361499</v>
      </c>
      <c r="AB147" s="335">
        <f t="shared" ca="1" si="59"/>
        <v>21.341711545278422</v>
      </c>
      <c r="AC147" s="335">
        <f t="shared" ca="1" si="59"/>
        <v>19.436553463034858</v>
      </c>
      <c r="AD147" s="335">
        <f t="shared" si="59"/>
        <v>0</v>
      </c>
      <c r="AE147" s="335">
        <f t="shared" si="59"/>
        <v>0</v>
      </c>
      <c r="AF147" s="335">
        <f t="shared" si="59"/>
        <v>0</v>
      </c>
      <c r="AG147" s="335">
        <f t="shared" si="59"/>
        <v>0</v>
      </c>
      <c r="AH147" s="335">
        <f t="shared" si="59"/>
        <v>0</v>
      </c>
      <c r="AI147" s="335">
        <f t="shared" si="59"/>
        <v>0</v>
      </c>
      <c r="AJ147" s="335">
        <f t="shared" si="59"/>
        <v>0</v>
      </c>
      <c r="AK147" s="335">
        <f t="shared" si="59"/>
        <v>0</v>
      </c>
    </row>
  </sheetData>
  <mergeCells count="2">
    <mergeCell ref="O111:T111"/>
    <mergeCell ref="G111:L111"/>
  </mergeCells>
  <conditionalFormatting sqref="E120:K120">
    <cfRule type="cellIs" dxfId="15" priority="16" operator="lessThan">
      <formula>0</formula>
    </cfRule>
  </conditionalFormatting>
  <conditionalFormatting sqref="E124:K124">
    <cfRule type="cellIs" dxfId="14" priority="15" operator="lessThan">
      <formula>0</formula>
    </cfRule>
  </conditionalFormatting>
  <conditionalFormatting sqref="E128:K129">
    <cfRule type="cellIs" dxfId="13" priority="14" operator="lessThan">
      <formula>0</formula>
    </cfRule>
  </conditionalFormatting>
  <conditionalFormatting sqref="R55:AC55">
    <cfRule type="cellIs" dxfId="12" priority="5" operator="lessThan">
      <formula>0</formula>
    </cfRule>
    <cfRule type="cellIs" dxfId="11" priority="6" operator="greaterThan">
      <formula>0</formula>
    </cfRule>
  </conditionalFormatting>
  <conditionalFormatting sqref="R71:AK71">
    <cfRule type="cellIs" dxfId="10" priority="13" operator="notEqual">
      <formula>0</formula>
    </cfRule>
  </conditionalFormatting>
  <conditionalFormatting sqref="U67">
    <cfRule type="cellIs" dxfId="9" priority="9" operator="lessThan">
      <formula>0</formula>
    </cfRule>
    <cfRule type="cellIs" dxfId="8" priority="10" operator="greaterThan">
      <formula>0</formula>
    </cfRule>
  </conditionalFormatting>
  <conditionalFormatting sqref="Y67">
    <cfRule type="cellIs" dxfId="7" priority="7" operator="lessThan">
      <formula>0</formula>
    </cfRule>
    <cfRule type="cellIs" dxfId="6" priority="8" operator="greaterThan">
      <formula>0</formula>
    </cfRule>
  </conditionalFormatting>
  <conditionalFormatting sqref="AC60">
    <cfRule type="cellIs" dxfId="5" priority="3" operator="lessThan">
      <formula>0</formula>
    </cfRule>
    <cfRule type="cellIs" dxfId="4" priority="4" operator="greaterThan">
      <formula>0</formula>
    </cfRule>
  </conditionalFormatting>
  <conditionalFormatting sqref="AC63">
    <cfRule type="cellIs" dxfId="3" priority="1" operator="lessThan">
      <formula>0</formula>
    </cfRule>
    <cfRule type="cellIs" dxfId="2" priority="2" operator="greaterThan">
      <formula>0</formula>
    </cfRule>
  </conditionalFormatting>
  <conditionalFormatting sqref="AC67">
    <cfRule type="cellIs" dxfId="1" priority="11" operator="lessThan">
      <formula>0</formula>
    </cfRule>
    <cfRule type="cellIs" dxfId="0" priority="12" operator="greaterThan">
      <formula>0</formula>
    </cfRule>
  </conditionalFormatting>
  <pageMargins left="0.70866141732283472" right="0.70866141732283472" top="0.74803149606299213" bottom="0.74803149606299213" header="0.31496062992125984" footer="0.31496062992125984"/>
  <pageSetup paperSize="8" orientation="landscape"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pageSetUpPr fitToPage="1"/>
  </sheetPr>
  <dimension ref="A1:S131"/>
  <sheetViews>
    <sheetView topLeftCell="A4" zoomScaleNormal="100" workbookViewId="0">
      <pane ySplit="6" topLeftCell="A23" activePane="bottomLeft" state="frozen"/>
      <selection pane="bottomLeft" activeCell="G44" sqref="G44"/>
    </sheetView>
  </sheetViews>
  <sheetFormatPr defaultColWidth="9.1328125" defaultRowHeight="10.15" x14ac:dyDescent="0.3"/>
  <cols>
    <col min="1" max="3" width="2.59765625" style="30" customWidth="1"/>
    <col min="4" max="4" width="45.3984375" style="30" customWidth="1"/>
    <col min="5" max="5" width="9.1328125" style="30"/>
    <col min="6" max="6" width="1.1328125" style="30" customWidth="1"/>
    <col min="7" max="7" width="9.1328125" style="30"/>
    <col min="8" max="8" width="1.1328125" style="30" customWidth="1"/>
    <col min="9" max="9" width="9.1328125" style="30"/>
    <col min="10" max="10" width="1.1328125" style="30" customWidth="1"/>
    <col min="11" max="11" width="9.1328125" style="30"/>
    <col min="12" max="12" width="1.1328125" style="30" customWidth="1"/>
    <col min="13" max="13" width="9.1328125" style="30"/>
    <col min="14" max="14" width="1.1328125" style="30" customWidth="1"/>
    <col min="15" max="15" width="9.1328125" style="30"/>
    <col min="16" max="16" width="1.1328125" style="30" customWidth="1"/>
    <col min="17" max="17" width="9.1328125" style="30"/>
    <col min="18" max="18" width="1.1328125" style="30" customWidth="1"/>
    <col min="19" max="16384" width="9.1328125" style="30"/>
  </cols>
  <sheetData>
    <row r="1" spans="1:19" s="34" customFormat="1" x14ac:dyDescent="0.3"/>
    <row r="2" spans="1:19" s="34" customFormat="1" x14ac:dyDescent="0.3">
      <c r="B2" s="35" t="s">
        <v>105</v>
      </c>
    </row>
    <row r="3" spans="1:19" s="34" customFormat="1" x14ac:dyDescent="0.3"/>
    <row r="4" spans="1:19" ht="6.75" customHeight="1" x14ac:dyDescent="0.3"/>
    <row r="5" spans="1:19" x14ac:dyDescent="0.3">
      <c r="E5" s="247" t="s">
        <v>115</v>
      </c>
      <c r="F5" s="246"/>
      <c r="G5" s="246"/>
      <c r="H5" s="246"/>
      <c r="I5" s="246"/>
      <c r="J5" s="246"/>
      <c r="K5" s="246"/>
      <c r="O5" s="31" t="s">
        <v>116</v>
      </c>
    </row>
    <row r="6" spans="1:19" ht="10.5" thickBot="1" x14ac:dyDescent="0.35">
      <c r="A6" s="11" t="s">
        <v>24</v>
      </c>
      <c r="B6" s="18" t="s">
        <v>108</v>
      </c>
      <c r="C6" s="19"/>
      <c r="D6" s="19"/>
      <c r="E6" s="19"/>
      <c r="F6" s="19"/>
      <c r="G6" s="19"/>
      <c r="H6" s="19"/>
      <c r="I6" s="19"/>
      <c r="J6" s="19"/>
      <c r="K6" s="19"/>
      <c r="L6" s="19"/>
      <c r="M6" s="19"/>
      <c r="N6" s="19"/>
      <c r="O6" s="19"/>
      <c r="P6" s="19"/>
      <c r="Q6" s="19"/>
      <c r="R6" s="19"/>
      <c r="S6" s="19"/>
    </row>
    <row r="7" spans="1:19" ht="6.75" customHeight="1" x14ac:dyDescent="0.3"/>
    <row r="8" spans="1:19" x14ac:dyDescent="0.3">
      <c r="A8" s="11"/>
      <c r="E8" s="227" t="s">
        <v>106</v>
      </c>
      <c r="G8" s="227" t="s">
        <v>107</v>
      </c>
      <c r="I8" s="227" t="s">
        <v>107</v>
      </c>
      <c r="K8" s="227" t="s">
        <v>107</v>
      </c>
      <c r="M8" s="227" t="s">
        <v>107</v>
      </c>
      <c r="O8" s="227" t="s">
        <v>107</v>
      </c>
      <c r="Q8" s="227" t="s">
        <v>107</v>
      </c>
      <c r="S8" s="244" t="s">
        <v>111</v>
      </c>
    </row>
    <row r="9" spans="1:19" x14ac:dyDescent="0.3">
      <c r="A9" s="11"/>
      <c r="E9" s="228" t="s">
        <v>107</v>
      </c>
      <c r="G9" s="228" t="s">
        <v>110</v>
      </c>
      <c r="I9" s="228" t="s">
        <v>113</v>
      </c>
      <c r="K9" s="228" t="s">
        <v>114</v>
      </c>
      <c r="M9" s="228" t="s">
        <v>120</v>
      </c>
      <c r="O9" s="228" t="s">
        <v>121</v>
      </c>
      <c r="Q9" s="228" t="s">
        <v>122</v>
      </c>
      <c r="S9" s="245" t="s">
        <v>112</v>
      </c>
    </row>
    <row r="10" spans="1:19" ht="6.75" customHeight="1" x14ac:dyDescent="0.3">
      <c r="A10" s="11"/>
      <c r="B10" s="24"/>
      <c r="C10" s="23"/>
      <c r="D10" s="23"/>
      <c r="E10" s="24"/>
      <c r="G10" s="24"/>
      <c r="I10" s="24"/>
      <c r="K10" s="24"/>
      <c r="M10" s="24"/>
      <c r="O10" s="24"/>
      <c r="Q10" s="24"/>
      <c r="S10" s="24"/>
    </row>
    <row r="11" spans="1:19" s="24" customFormat="1" x14ac:dyDescent="0.3">
      <c r="B11" s="240" t="s">
        <v>195</v>
      </c>
      <c r="C11" s="241"/>
      <c r="D11" s="241"/>
      <c r="E11" s="242"/>
      <c r="F11" s="242"/>
      <c r="G11" s="242"/>
      <c r="H11" s="242"/>
      <c r="I11" s="242"/>
      <c r="J11" s="242"/>
      <c r="K11" s="242"/>
      <c r="L11" s="242"/>
      <c r="M11" s="242"/>
      <c r="N11" s="242"/>
      <c r="O11" s="242"/>
      <c r="P11" s="242"/>
      <c r="Q11" s="242"/>
      <c r="R11" s="242"/>
      <c r="S11" s="242"/>
    </row>
    <row r="12" spans="1:19" ht="6.75" customHeight="1" x14ac:dyDescent="0.3">
      <c r="A12" s="11"/>
      <c r="B12" s="24"/>
      <c r="C12" s="23"/>
      <c r="D12" s="23"/>
      <c r="E12" s="24"/>
      <c r="G12" s="24"/>
      <c r="I12" s="24"/>
      <c r="K12" s="24"/>
      <c r="M12" s="24"/>
      <c r="O12" s="24"/>
      <c r="Q12" s="24"/>
      <c r="S12" s="24"/>
    </row>
    <row r="13" spans="1:19" s="24" customFormat="1" x14ac:dyDescent="0.45">
      <c r="D13" s="23" t="s">
        <v>27</v>
      </c>
      <c r="E13" s="27">
        <v>0.24360000000000001</v>
      </c>
      <c r="G13" s="27">
        <v>0.24360000000000001</v>
      </c>
      <c r="I13" s="27">
        <v>0.24360000000000001</v>
      </c>
      <c r="K13" s="27">
        <v>0.24360000000000001</v>
      </c>
      <c r="M13" s="27">
        <v>0.24360000000000001</v>
      </c>
      <c r="O13" s="27">
        <v>0.24360000000000001</v>
      </c>
      <c r="Q13" s="27">
        <v>0.24360000000000001</v>
      </c>
      <c r="S13" s="27">
        <v>0.24360000000000001</v>
      </c>
    </row>
    <row r="14" spans="1:19" s="24" customFormat="1" x14ac:dyDescent="0.45">
      <c r="D14" s="23" t="s">
        <v>25</v>
      </c>
      <c r="E14" s="27">
        <v>0.19</v>
      </c>
      <c r="G14" s="27">
        <v>0.19</v>
      </c>
      <c r="I14" s="27">
        <v>0.19</v>
      </c>
      <c r="K14" s="27">
        <v>0.19</v>
      </c>
      <c r="M14" s="27">
        <v>0.19</v>
      </c>
      <c r="O14" s="27">
        <v>0.19</v>
      </c>
      <c r="Q14" s="27">
        <v>0.19</v>
      </c>
      <c r="S14" s="27">
        <v>0.19</v>
      </c>
    </row>
    <row r="15" spans="1:19" s="24" customFormat="1" x14ac:dyDescent="0.45">
      <c r="D15" s="23" t="s">
        <v>11</v>
      </c>
      <c r="E15" s="28">
        <v>1.7500000000000002E-2</v>
      </c>
      <c r="G15" s="28">
        <v>1.7500000000000002E-2</v>
      </c>
      <c r="I15" s="28">
        <v>1.7500000000000002E-2</v>
      </c>
      <c r="K15" s="28">
        <v>1.7500000000000002E-2</v>
      </c>
      <c r="M15" s="28">
        <v>1.7500000000000002E-2</v>
      </c>
      <c r="O15" s="28">
        <v>1.7500000000000002E-2</v>
      </c>
      <c r="Q15" s="28">
        <v>1.7500000000000002E-2</v>
      </c>
      <c r="S15" s="28">
        <v>1.7500000000000002E-2</v>
      </c>
    </row>
    <row r="16" spans="1:19" x14ac:dyDescent="0.3">
      <c r="A16" s="11"/>
      <c r="B16" s="24"/>
      <c r="D16" s="23" t="s">
        <v>1</v>
      </c>
      <c r="E16" s="29">
        <v>18</v>
      </c>
      <c r="G16" s="29">
        <v>18</v>
      </c>
      <c r="I16" s="29">
        <v>18</v>
      </c>
      <c r="K16" s="29">
        <v>18</v>
      </c>
      <c r="M16" s="29">
        <v>18</v>
      </c>
      <c r="O16" s="29">
        <v>18</v>
      </c>
      <c r="Q16" s="29">
        <v>18</v>
      </c>
      <c r="S16" s="29">
        <v>18</v>
      </c>
    </row>
    <row r="17" spans="1:19" ht="6.75" customHeight="1" x14ac:dyDescent="0.3">
      <c r="A17" s="11"/>
      <c r="B17" s="24"/>
      <c r="C17" s="23"/>
      <c r="D17" s="23"/>
      <c r="E17" s="24"/>
      <c r="G17" s="24"/>
      <c r="I17" s="24"/>
      <c r="K17" s="24"/>
      <c r="M17" s="24"/>
      <c r="O17" s="24"/>
      <c r="Q17" s="24"/>
      <c r="S17" s="24"/>
    </row>
    <row r="18" spans="1:19" x14ac:dyDescent="0.3">
      <c r="B18" s="240" t="s">
        <v>194</v>
      </c>
      <c r="C18" s="241"/>
      <c r="D18" s="241"/>
      <c r="E18" s="34"/>
      <c r="F18" s="34"/>
      <c r="G18" s="34"/>
      <c r="H18" s="34"/>
      <c r="I18" s="34"/>
      <c r="J18" s="34"/>
      <c r="K18" s="34"/>
      <c r="L18" s="34"/>
      <c r="M18" s="34"/>
      <c r="N18" s="34"/>
      <c r="O18" s="34"/>
      <c r="P18" s="34"/>
      <c r="Q18" s="34"/>
      <c r="R18" s="34"/>
      <c r="S18" s="34"/>
    </row>
    <row r="19" spans="1:19" ht="6.75" customHeight="1" x14ac:dyDescent="0.3">
      <c r="A19" s="11"/>
      <c r="B19" s="24"/>
      <c r="C19" s="23"/>
      <c r="D19" s="23"/>
      <c r="E19" s="24"/>
      <c r="G19" s="24"/>
      <c r="I19" s="24"/>
      <c r="K19" s="24"/>
      <c r="M19" s="24"/>
      <c r="O19" s="24"/>
      <c r="Q19" s="24"/>
      <c r="S19" s="24"/>
    </row>
    <row r="20" spans="1:19" s="24" customFormat="1" x14ac:dyDescent="0.3">
      <c r="B20" s="33"/>
      <c r="C20" s="31" t="s">
        <v>26</v>
      </c>
      <c r="D20" s="30"/>
      <c r="E20" s="30"/>
      <c r="G20" s="30"/>
      <c r="I20" s="30"/>
      <c r="K20" s="30"/>
      <c r="M20" s="30"/>
      <c r="O20" s="30"/>
      <c r="Q20" s="30"/>
      <c r="S20" s="11"/>
    </row>
    <row r="21" spans="1:19" s="24" customFormat="1" x14ac:dyDescent="0.3">
      <c r="B21" s="30"/>
      <c r="C21" s="32"/>
      <c r="D21" s="24" t="s">
        <v>39</v>
      </c>
      <c r="E21" s="29">
        <v>36</v>
      </c>
      <c r="G21" s="29">
        <v>36</v>
      </c>
      <c r="I21" s="29">
        <v>36</v>
      </c>
      <c r="K21" s="248">
        <v>24</v>
      </c>
      <c r="M21" s="29">
        <v>36</v>
      </c>
      <c r="O21" s="29">
        <v>36</v>
      </c>
      <c r="Q21" s="29">
        <v>36</v>
      </c>
      <c r="S21" s="29">
        <v>36</v>
      </c>
    </row>
    <row r="22" spans="1:19" s="24" customFormat="1" x14ac:dyDescent="0.3">
      <c r="C22" s="31" t="s">
        <v>38</v>
      </c>
    </row>
    <row r="23" spans="1:19" s="24" customFormat="1" x14ac:dyDescent="0.45">
      <c r="C23" s="32"/>
      <c r="D23" s="24" t="s">
        <v>62</v>
      </c>
      <c r="E23" s="36">
        <v>1</v>
      </c>
      <c r="G23" s="36">
        <v>1</v>
      </c>
      <c r="I23" s="36">
        <v>1</v>
      </c>
      <c r="K23" s="36">
        <v>1</v>
      </c>
      <c r="M23" s="36">
        <v>1</v>
      </c>
      <c r="O23" s="36">
        <v>1</v>
      </c>
      <c r="Q23" s="36">
        <v>1</v>
      </c>
      <c r="S23" s="36">
        <v>1</v>
      </c>
    </row>
    <row r="24" spans="1:19" s="24" customFormat="1" x14ac:dyDescent="0.45">
      <c r="C24" s="32"/>
      <c r="D24" s="24" t="s">
        <v>65</v>
      </c>
      <c r="E24" s="159">
        <f>1-E23</f>
        <v>0</v>
      </c>
      <c r="G24" s="159">
        <f>1-G23</f>
        <v>0</v>
      </c>
      <c r="I24" s="159">
        <f>1-I23</f>
        <v>0</v>
      </c>
      <c r="K24" s="159">
        <f>1-K23</f>
        <v>0</v>
      </c>
      <c r="M24" s="159">
        <f>1-M23</f>
        <v>0</v>
      </c>
      <c r="O24" s="159">
        <f>1-O23</f>
        <v>0</v>
      </c>
      <c r="Q24" s="159">
        <f>1-Q23</f>
        <v>0</v>
      </c>
      <c r="S24" s="159">
        <v>0</v>
      </c>
    </row>
    <row r="25" spans="1:19" s="24" customFormat="1" x14ac:dyDescent="0.45">
      <c r="C25" s="32"/>
      <c r="D25" s="24" t="s">
        <v>31</v>
      </c>
      <c r="E25" s="42">
        <v>3</v>
      </c>
      <c r="G25" s="42">
        <v>3</v>
      </c>
      <c r="I25" s="255">
        <v>2</v>
      </c>
      <c r="K25" s="42">
        <v>3</v>
      </c>
      <c r="M25" s="42">
        <v>3</v>
      </c>
      <c r="O25" s="42">
        <v>3</v>
      </c>
      <c r="Q25" s="42">
        <v>3</v>
      </c>
      <c r="S25" s="42">
        <v>3</v>
      </c>
    </row>
    <row r="26" spans="1:19" s="24" customFormat="1" x14ac:dyDescent="0.45">
      <c r="C26" s="32" t="s">
        <v>68</v>
      </c>
      <c r="E26" s="29">
        <v>50</v>
      </c>
      <c r="G26" s="248">
        <v>30</v>
      </c>
      <c r="I26" s="29">
        <v>50</v>
      </c>
      <c r="K26" s="29">
        <v>50</v>
      </c>
      <c r="M26" s="29">
        <v>50</v>
      </c>
      <c r="O26" s="29">
        <v>50</v>
      </c>
      <c r="Q26" s="29">
        <v>50</v>
      </c>
      <c r="S26" s="29">
        <v>50</v>
      </c>
    </row>
    <row r="27" spans="1:19" s="24" customFormat="1" x14ac:dyDescent="0.45">
      <c r="C27" s="32" t="s">
        <v>28</v>
      </c>
    </row>
    <row r="28" spans="1:19" s="24" customFormat="1" x14ac:dyDescent="0.45">
      <c r="C28" s="32"/>
      <c r="D28" s="24" t="s">
        <v>45</v>
      </c>
      <c r="E28" s="36">
        <v>0.5</v>
      </c>
      <c r="G28" s="36">
        <v>0.5</v>
      </c>
      <c r="I28" s="36">
        <v>0.5</v>
      </c>
      <c r="K28" s="36">
        <v>0.5</v>
      </c>
      <c r="M28" s="36">
        <v>0.5</v>
      </c>
      <c r="O28" s="259">
        <v>0.3</v>
      </c>
      <c r="Q28" s="36">
        <v>0.5</v>
      </c>
      <c r="S28" s="36">
        <v>0.5</v>
      </c>
    </row>
    <row r="29" spans="1:19" s="24" customFormat="1" x14ac:dyDescent="0.45">
      <c r="C29" s="32"/>
      <c r="D29" s="24" t="s">
        <v>66</v>
      </c>
      <c r="E29" s="37">
        <f>E28*E26</f>
        <v>25</v>
      </c>
      <c r="G29" s="37">
        <f>G28*G26</f>
        <v>15</v>
      </c>
      <c r="I29" s="37">
        <f>I28*I26</f>
        <v>25</v>
      </c>
      <c r="K29" s="37">
        <f>K28*K26</f>
        <v>25</v>
      </c>
      <c r="M29" s="37">
        <f>M28*M26</f>
        <v>25</v>
      </c>
      <c r="O29" s="37">
        <f>O28*O26</f>
        <v>15</v>
      </c>
      <c r="Q29" s="37">
        <f>Q28*Q26</f>
        <v>25</v>
      </c>
      <c r="S29" s="37">
        <v>25</v>
      </c>
    </row>
    <row r="30" spans="1:19" s="24" customFormat="1" x14ac:dyDescent="0.45">
      <c r="C30" s="32"/>
      <c r="D30" s="23" t="s">
        <v>67</v>
      </c>
      <c r="E30" s="37">
        <f>E26-E29</f>
        <v>25</v>
      </c>
      <c r="G30" s="37">
        <f>G26-G29</f>
        <v>15</v>
      </c>
      <c r="I30" s="37">
        <f>I26-I29</f>
        <v>25</v>
      </c>
      <c r="K30" s="37">
        <f>K26-K29</f>
        <v>25</v>
      </c>
      <c r="M30" s="37">
        <f>M26-M29</f>
        <v>25</v>
      </c>
      <c r="O30" s="37">
        <f>O26-O29</f>
        <v>35</v>
      </c>
      <c r="Q30" s="37">
        <f>Q26-Q29</f>
        <v>25</v>
      </c>
      <c r="S30" s="37">
        <v>25</v>
      </c>
    </row>
    <row r="31" spans="1:19" s="24" customFormat="1" x14ac:dyDescent="0.45">
      <c r="C31" s="32" t="s">
        <v>93</v>
      </c>
    </row>
    <row r="32" spans="1:19" s="24" customFormat="1" x14ac:dyDescent="0.45">
      <c r="C32" s="32"/>
      <c r="D32" s="24" t="s">
        <v>70</v>
      </c>
      <c r="E32" s="38">
        <v>0.2</v>
      </c>
      <c r="G32" s="38">
        <v>0.2</v>
      </c>
      <c r="I32" s="38">
        <v>0.2</v>
      </c>
      <c r="K32" s="38">
        <v>0.2</v>
      </c>
      <c r="M32" s="38">
        <v>0.2</v>
      </c>
      <c r="O32" s="38">
        <v>0.2</v>
      </c>
      <c r="Q32" s="259">
        <v>0.35</v>
      </c>
      <c r="S32" s="38">
        <v>0.35</v>
      </c>
    </row>
    <row r="33" spans="1:19" s="24" customFormat="1" x14ac:dyDescent="0.45">
      <c r="C33" s="32"/>
      <c r="D33" s="24" t="s">
        <v>71</v>
      </c>
      <c r="E33" s="38">
        <v>0.05</v>
      </c>
      <c r="G33" s="38">
        <v>0.05</v>
      </c>
      <c r="I33" s="38">
        <v>0.05</v>
      </c>
      <c r="K33" s="38">
        <v>0.05</v>
      </c>
      <c r="M33" s="38">
        <v>0.05</v>
      </c>
      <c r="O33" s="38">
        <v>0.05</v>
      </c>
      <c r="Q33" s="259">
        <v>0.15</v>
      </c>
      <c r="S33" s="38">
        <v>0.15</v>
      </c>
    </row>
    <row r="34" spans="1:19" s="24" customFormat="1" x14ac:dyDescent="0.45">
      <c r="C34" s="32"/>
      <c r="D34" s="24" t="s">
        <v>90</v>
      </c>
      <c r="E34" s="161">
        <f>SUM(E32:E33)</f>
        <v>0.25</v>
      </c>
      <c r="G34" s="161">
        <f>SUM(G32:G33)</f>
        <v>0.25</v>
      </c>
      <c r="I34" s="161">
        <f>SUM(I32:I33)</f>
        <v>0.25</v>
      </c>
      <c r="K34" s="161">
        <f>SUM(K32:K33)</f>
        <v>0.25</v>
      </c>
      <c r="M34" s="161">
        <f>SUM(M32:M33)</f>
        <v>0.25</v>
      </c>
      <c r="O34" s="161">
        <f>SUM(O32:O33)</f>
        <v>0.25</v>
      </c>
      <c r="Q34" s="161">
        <f>SUM(Q32:Q33)</f>
        <v>0.5</v>
      </c>
      <c r="S34" s="161">
        <v>0.5</v>
      </c>
    </row>
    <row r="35" spans="1:19" s="24" customFormat="1" x14ac:dyDescent="0.45">
      <c r="C35" s="32"/>
      <c r="D35" s="24" t="s">
        <v>91</v>
      </c>
      <c r="E35" s="161">
        <f>E14+(E13-E14)*E32</f>
        <v>0.20072000000000001</v>
      </c>
      <c r="G35" s="161">
        <f>G14+(G13-G14)*G32</f>
        <v>0.20072000000000001</v>
      </c>
      <c r="I35" s="161">
        <f>I14+(I13-I14)*I32</f>
        <v>0.20072000000000001</v>
      </c>
      <c r="K35" s="161">
        <f>K14+(K13-K14)*K32</f>
        <v>0.20072000000000001</v>
      </c>
      <c r="M35" s="161">
        <f>M14+(M13-M14)*M32</f>
        <v>0.20072000000000001</v>
      </c>
      <c r="O35" s="161">
        <f>O14+(O13-O14)*O32</f>
        <v>0.20072000000000001</v>
      </c>
      <c r="Q35" s="161">
        <f>Q14+(Q13-Q14)*Q32</f>
        <v>0.20876</v>
      </c>
      <c r="S35" s="161">
        <v>0.20876</v>
      </c>
    </row>
    <row r="36" spans="1:19" s="24" customFormat="1" x14ac:dyDescent="0.45">
      <c r="C36" s="32"/>
      <c r="D36" s="24" t="s">
        <v>72</v>
      </c>
      <c r="E36" s="160">
        <v>3.5000000000000003E-2</v>
      </c>
      <c r="G36" s="160">
        <v>3.5000000000000003E-2</v>
      </c>
      <c r="I36" s="160">
        <v>3.5000000000000003E-2</v>
      </c>
      <c r="K36" s="160">
        <v>3.5000000000000003E-2</v>
      </c>
      <c r="M36" s="160">
        <v>3.5000000000000003E-2</v>
      </c>
      <c r="O36" s="160">
        <v>3.5000000000000003E-2</v>
      </c>
      <c r="Q36" s="160">
        <v>3.5000000000000003E-2</v>
      </c>
      <c r="S36" s="160">
        <v>3.5000000000000003E-2</v>
      </c>
    </row>
    <row r="37" spans="1:19" s="24" customFormat="1" x14ac:dyDescent="0.45">
      <c r="C37" s="32"/>
      <c r="D37" s="24" t="s">
        <v>92</v>
      </c>
      <c r="E37" s="161">
        <f>E14+(E13-E14)*E33</f>
        <v>0.19267999999999999</v>
      </c>
      <c r="G37" s="161">
        <f>G14+(G13-G14)*G33</f>
        <v>0.19267999999999999</v>
      </c>
      <c r="I37" s="161">
        <f>I14+(I13-I14)*I33</f>
        <v>0.19267999999999999</v>
      </c>
      <c r="K37" s="161">
        <f>K14+(K13-K14)*K33</f>
        <v>0.19267999999999999</v>
      </c>
      <c r="M37" s="161">
        <f>M14+(M13-M14)*M33</f>
        <v>0.19267999999999999</v>
      </c>
      <c r="O37" s="161">
        <f>O14+(O13-O14)*O33</f>
        <v>0.19267999999999999</v>
      </c>
      <c r="Q37" s="161">
        <f>Q14+(Q13-Q14)*Q33</f>
        <v>0.19803999999999999</v>
      </c>
      <c r="S37" s="161">
        <v>0.19803999999999999</v>
      </c>
    </row>
    <row r="38" spans="1:19" s="24" customFormat="1" x14ac:dyDescent="0.45">
      <c r="C38" s="32" t="s">
        <v>94</v>
      </c>
    </row>
    <row r="39" spans="1:19" s="24" customFormat="1" x14ac:dyDescent="0.45">
      <c r="C39" s="32"/>
      <c r="D39" s="24" t="s">
        <v>63</v>
      </c>
      <c r="E39" s="38">
        <v>0.01</v>
      </c>
      <c r="G39" s="38">
        <v>0.01</v>
      </c>
      <c r="I39" s="38">
        <v>0.01</v>
      </c>
      <c r="K39" s="38">
        <v>0.01</v>
      </c>
      <c r="M39" s="259">
        <v>1.2500000000000001E-2</v>
      </c>
      <c r="O39" s="38">
        <v>0.01</v>
      </c>
      <c r="Q39" s="38">
        <v>0.01</v>
      </c>
      <c r="S39" s="38">
        <v>0.01</v>
      </c>
    </row>
    <row r="40" spans="1:19" s="24" customFormat="1" x14ac:dyDescent="0.45">
      <c r="C40" s="32" t="s">
        <v>29</v>
      </c>
    </row>
    <row r="41" spans="1:19" s="24" customFormat="1" x14ac:dyDescent="0.45">
      <c r="C41" s="32"/>
      <c r="D41" s="24" t="s">
        <v>95</v>
      </c>
      <c r="E41" s="38">
        <v>5.0000000000000001E-3</v>
      </c>
      <c r="G41" s="38">
        <v>5.0000000000000001E-3</v>
      </c>
      <c r="I41" s="38">
        <v>5.0000000000000001E-3</v>
      </c>
      <c r="K41" s="38">
        <v>5.0000000000000001E-3</v>
      </c>
      <c r="M41" s="38">
        <v>5.0000000000000001E-3</v>
      </c>
      <c r="O41" s="38">
        <v>5.0000000000000001E-3</v>
      </c>
      <c r="Q41" s="38">
        <v>5.0000000000000001E-3</v>
      </c>
      <c r="S41" s="38">
        <v>5.0000000000000001E-3</v>
      </c>
    </row>
    <row r="42" spans="1:19" s="24" customFormat="1" x14ac:dyDescent="0.45">
      <c r="C42" s="32"/>
      <c r="D42" s="24" t="s">
        <v>96</v>
      </c>
      <c r="E42" s="38">
        <v>0</v>
      </c>
      <c r="G42" s="38">
        <v>0</v>
      </c>
      <c r="I42" s="38">
        <v>0</v>
      </c>
      <c r="K42" s="38">
        <v>0</v>
      </c>
      <c r="M42" s="38">
        <v>0</v>
      </c>
      <c r="O42" s="38">
        <v>0</v>
      </c>
      <c r="Q42" s="38">
        <v>0</v>
      </c>
      <c r="S42" s="38">
        <v>0</v>
      </c>
    </row>
    <row r="43" spans="1:19" s="24" customFormat="1" x14ac:dyDescent="0.45">
      <c r="C43" s="32" t="s">
        <v>97</v>
      </c>
    </row>
    <row r="44" spans="1:19" s="24" customFormat="1" x14ac:dyDescent="0.45">
      <c r="C44" s="32"/>
      <c r="D44" s="24" t="s">
        <v>126</v>
      </c>
      <c r="E44" s="29">
        <v>2</v>
      </c>
      <c r="G44" s="29">
        <v>2</v>
      </c>
      <c r="I44" s="29">
        <v>2</v>
      </c>
      <c r="K44" s="29">
        <v>2</v>
      </c>
      <c r="M44" s="29">
        <v>2</v>
      </c>
      <c r="O44" s="29">
        <v>2</v>
      </c>
      <c r="Q44" s="29">
        <v>2</v>
      </c>
      <c r="S44" s="29">
        <v>2</v>
      </c>
    </row>
    <row r="45" spans="1:19" s="24" customFormat="1" ht="6.75" customHeight="1" x14ac:dyDescent="0.45"/>
    <row r="46" spans="1:19" ht="10.5" thickBot="1" x14ac:dyDescent="0.35">
      <c r="A46" s="11" t="s">
        <v>24</v>
      </c>
      <c r="B46" s="18" t="s">
        <v>109</v>
      </c>
      <c r="C46" s="19"/>
      <c r="D46" s="19"/>
      <c r="E46" s="19"/>
      <c r="F46" s="19"/>
      <c r="G46" s="19"/>
      <c r="H46" s="19"/>
      <c r="I46" s="19"/>
      <c r="J46" s="19"/>
      <c r="K46" s="19"/>
      <c r="L46" s="19"/>
      <c r="M46" s="19"/>
      <c r="N46" s="19"/>
      <c r="O46" s="19"/>
      <c r="P46" s="19"/>
      <c r="Q46" s="19"/>
      <c r="R46" s="19"/>
      <c r="S46" s="19"/>
    </row>
    <row r="47" spans="1:19" s="24" customFormat="1" ht="6.75" customHeight="1" x14ac:dyDescent="0.45"/>
    <row r="48" spans="1:19" x14ac:dyDescent="0.3">
      <c r="B48" s="100" t="s">
        <v>50</v>
      </c>
      <c r="C48" s="34"/>
      <c r="D48" s="34"/>
      <c r="E48" s="34"/>
      <c r="F48" s="34"/>
      <c r="G48" s="34"/>
      <c r="H48" s="34"/>
      <c r="I48" s="34"/>
      <c r="J48" s="34"/>
      <c r="K48" s="34"/>
      <c r="L48" s="34"/>
      <c r="M48" s="34"/>
      <c r="N48" s="34"/>
      <c r="O48" s="34"/>
      <c r="P48" s="34"/>
      <c r="Q48" s="34"/>
      <c r="R48" s="34"/>
      <c r="S48" s="34"/>
    </row>
    <row r="49" spans="2:19" s="24" customFormat="1" ht="6.75" customHeight="1" x14ac:dyDescent="0.45"/>
    <row r="50" spans="2:19" x14ac:dyDescent="0.3">
      <c r="C50" s="31" t="s">
        <v>41</v>
      </c>
    </row>
    <row r="51" spans="2:19" s="24" customFormat="1" x14ac:dyDescent="0.45">
      <c r="C51" s="32"/>
      <c r="D51" s="24" t="s">
        <v>47</v>
      </c>
      <c r="E51" s="253">
        <v>25</v>
      </c>
      <c r="F51" s="249"/>
      <c r="G51" s="253">
        <v>15</v>
      </c>
      <c r="H51" s="249"/>
      <c r="I51" s="253">
        <v>25</v>
      </c>
      <c r="J51" s="249"/>
      <c r="K51" s="253">
        <v>25</v>
      </c>
      <c r="L51" s="249"/>
      <c r="M51" s="253">
        <v>25</v>
      </c>
      <c r="N51" s="249"/>
      <c r="O51" s="253">
        <v>35</v>
      </c>
      <c r="P51" s="249"/>
      <c r="Q51" s="253">
        <v>25</v>
      </c>
      <c r="R51" s="249"/>
      <c r="S51" s="253" t="e">
        <f>Hypothetical!E113</f>
        <v>#REF!</v>
      </c>
    </row>
    <row r="52" spans="2:19" s="24" customFormat="1" x14ac:dyDescent="0.45">
      <c r="C52" s="32"/>
      <c r="D52" s="24" t="s">
        <v>48</v>
      </c>
      <c r="E52" s="252">
        <v>17.12127766310692</v>
      </c>
      <c r="F52" s="249"/>
      <c r="G52" s="252">
        <v>8.3749927798517447</v>
      </c>
      <c r="H52" s="249"/>
      <c r="I52" s="252">
        <v>14.195045805701275</v>
      </c>
      <c r="J52" s="249"/>
      <c r="K52" s="252">
        <v>12.393650289403091</v>
      </c>
      <c r="L52" s="249"/>
      <c r="M52" s="252">
        <v>16.507941595131893</v>
      </c>
      <c r="N52" s="249"/>
      <c r="O52" s="252">
        <v>18.228804753120961</v>
      </c>
      <c r="P52" s="249"/>
      <c r="Q52" s="252">
        <v>17.824624924082748</v>
      </c>
      <c r="R52" s="249"/>
      <c r="S52" s="252" t="e">
        <f>Hypothetical!G113</f>
        <v>#REF!</v>
      </c>
    </row>
    <row r="53" spans="2:19" s="24" customFormat="1" x14ac:dyDescent="0.3">
      <c r="C53" s="32"/>
      <c r="D53" s="24" t="s">
        <v>117</v>
      </c>
      <c r="E53" s="256">
        <v>1.6848511065242768</v>
      </c>
      <c r="F53" s="249"/>
      <c r="G53" s="256">
        <v>1.5583328519901163</v>
      </c>
      <c r="H53" s="249"/>
      <c r="I53" s="256">
        <v>1.5678018322280511</v>
      </c>
      <c r="J53" s="249"/>
      <c r="K53" s="256">
        <v>1.4957460115761236</v>
      </c>
      <c r="L53" s="249"/>
      <c r="M53" s="256">
        <v>1.6603176638052759</v>
      </c>
      <c r="N53" s="249"/>
      <c r="O53" s="256">
        <v>1.5208229929463133</v>
      </c>
      <c r="P53" s="249"/>
      <c r="Q53" s="256">
        <v>1.71298499696331</v>
      </c>
      <c r="R53" s="249"/>
      <c r="S53" s="256" t="e">
        <f>Hypothetical!M113</f>
        <v>#REF!</v>
      </c>
    </row>
    <row r="54" spans="2:19" s="24" customFormat="1" x14ac:dyDescent="0.3">
      <c r="C54" s="32"/>
      <c r="D54" s="24" t="s">
        <v>58</v>
      </c>
      <c r="E54" s="250">
        <v>0.19783789846037858</v>
      </c>
      <c r="F54" s="249"/>
      <c r="G54" s="250">
        <v>0.15909738208152091</v>
      </c>
      <c r="H54" s="249"/>
      <c r="I54" s="250">
        <v>0.1636421504288128</v>
      </c>
      <c r="J54" s="249"/>
      <c r="K54" s="250">
        <v>0.20182844463386518</v>
      </c>
      <c r="L54" s="249"/>
      <c r="M54" s="250">
        <v>0.19314151328979023</v>
      </c>
      <c r="N54" s="249"/>
      <c r="O54" s="250">
        <v>0.1584527776413529</v>
      </c>
      <c r="P54" s="249"/>
      <c r="Q54" s="250">
        <v>0.20599958335021884</v>
      </c>
      <c r="R54" s="249"/>
      <c r="S54" s="250" t="e">
        <f>Hypothetical!N113</f>
        <v>#VALUE!</v>
      </c>
    </row>
    <row r="55" spans="2:19" s="24" customFormat="1" x14ac:dyDescent="0.3">
      <c r="C55" s="31" t="s">
        <v>28</v>
      </c>
      <c r="E55" s="251"/>
      <c r="F55" s="249"/>
      <c r="G55" s="251"/>
      <c r="H55" s="249"/>
      <c r="I55" s="251"/>
      <c r="J55" s="249"/>
      <c r="K55" s="251"/>
      <c r="L55" s="249"/>
      <c r="M55" s="251"/>
      <c r="N55" s="249"/>
      <c r="O55" s="251"/>
      <c r="P55" s="249"/>
      <c r="Q55" s="251"/>
      <c r="R55" s="249"/>
      <c r="S55" s="251"/>
    </row>
    <row r="56" spans="2:19" s="24" customFormat="1" x14ac:dyDescent="0.45">
      <c r="C56" s="32"/>
      <c r="D56" s="24" t="s">
        <v>47</v>
      </c>
      <c r="E56" s="253">
        <v>10.28058915781703</v>
      </c>
      <c r="F56" s="258"/>
      <c r="G56" s="253">
        <v>20.280589157817037</v>
      </c>
      <c r="H56" s="258"/>
      <c r="I56" s="253">
        <v>4.1339474222162025</v>
      </c>
      <c r="J56" s="258"/>
      <c r="K56" s="253">
        <v>4.7358888229633536</v>
      </c>
      <c r="L56" s="258"/>
      <c r="M56" s="253">
        <v>10.28058915781703</v>
      </c>
      <c r="N56" s="258"/>
      <c r="O56" s="253">
        <v>0.28058915781702964</v>
      </c>
      <c r="P56" s="258"/>
      <c r="Q56" s="253">
        <v>9.8552565067424887</v>
      </c>
      <c r="R56" s="258"/>
      <c r="S56" s="253" t="e">
        <f>Hypothetical!E114</f>
        <v>#REF!</v>
      </c>
    </row>
    <row r="57" spans="2:19" s="24" customFormat="1" x14ac:dyDescent="0.45">
      <c r="C57" s="32"/>
      <c r="D57" s="24" t="s">
        <v>48</v>
      </c>
      <c r="E57" s="253">
        <v>4.9434414013453098</v>
      </c>
      <c r="F57" s="258"/>
      <c r="G57" s="253">
        <v>11.366120616341336</v>
      </c>
      <c r="H57" s="258"/>
      <c r="I57" s="253">
        <v>2.7807181574657505</v>
      </c>
      <c r="J57" s="258"/>
      <c r="K57" s="253">
        <v>3.0178316500828819</v>
      </c>
      <c r="L57" s="258"/>
      <c r="M57" s="253">
        <v>5.5567774693203873</v>
      </c>
      <c r="N57" s="258"/>
      <c r="O57" s="253">
        <v>1.5123086430720272</v>
      </c>
      <c r="P57" s="258"/>
      <c r="Q57" s="253">
        <v>4.8854933467395263</v>
      </c>
      <c r="R57" s="258"/>
      <c r="S57" s="253" t="e">
        <f>Hypothetical!G114</f>
        <v>#REF!</v>
      </c>
    </row>
    <row r="58" spans="2:19" s="24" customFormat="1" x14ac:dyDescent="0.3">
      <c r="C58" s="32"/>
      <c r="D58" s="24" t="s">
        <v>49</v>
      </c>
      <c r="E58" s="257">
        <v>1.480851955608641</v>
      </c>
      <c r="F58" s="249"/>
      <c r="G58" s="257">
        <v>1.5604433149300463</v>
      </c>
      <c r="H58" s="249"/>
      <c r="I58" s="257">
        <v>1.6726544567359332</v>
      </c>
      <c r="J58" s="249"/>
      <c r="K58" s="257">
        <v>1.6372260335694613</v>
      </c>
      <c r="L58" s="249"/>
      <c r="M58" s="257">
        <v>1.5405115780835568</v>
      </c>
      <c r="N58" s="249"/>
      <c r="O58" s="257">
        <v>6.3897615105220629</v>
      </c>
      <c r="P58" s="249"/>
      <c r="Q58" s="257">
        <v>1.4957246260812298</v>
      </c>
      <c r="R58" s="249"/>
      <c r="S58" s="257" t="e">
        <f>Hypothetical!M114</f>
        <v>#REF!</v>
      </c>
    </row>
    <row r="59" spans="2:19" s="24" customFormat="1" x14ac:dyDescent="0.3">
      <c r="C59" s="32"/>
      <c r="D59" s="24" t="s">
        <v>124</v>
      </c>
      <c r="E59" s="250">
        <v>10.595572296659611</v>
      </c>
      <c r="F59" s="249"/>
      <c r="G59" s="250">
        <v>4.7376354995612422</v>
      </c>
      <c r="H59" s="249"/>
      <c r="I59" s="250">
        <v>34.70197887565898</v>
      </c>
      <c r="J59" s="249"/>
      <c r="K59" s="250">
        <v>30.67799387783786</v>
      </c>
      <c r="L59" s="249"/>
      <c r="M59" s="250">
        <v>11.910172010253936</v>
      </c>
      <c r="N59" s="249"/>
      <c r="O59" s="250">
        <v>646.77138126264754</v>
      </c>
      <c r="P59" s="249"/>
      <c r="Q59" s="250">
        <v>11.172169227669796</v>
      </c>
      <c r="R59" s="249"/>
      <c r="S59" s="250" t="e">
        <f>Hypothetical!O114</f>
        <v>#REF!</v>
      </c>
    </row>
    <row r="60" spans="2:19" s="24" customFormat="1" x14ac:dyDescent="0.3">
      <c r="C60" s="31" t="s">
        <v>196</v>
      </c>
      <c r="E60" s="251"/>
      <c r="F60" s="249"/>
      <c r="G60" s="251"/>
      <c r="H60" s="249"/>
      <c r="I60" s="251"/>
      <c r="J60" s="249"/>
      <c r="K60" s="251"/>
      <c r="L60" s="249"/>
      <c r="M60" s="251"/>
      <c r="N60" s="249"/>
      <c r="O60" s="251"/>
      <c r="P60" s="249"/>
      <c r="Q60" s="251"/>
      <c r="R60" s="249"/>
      <c r="S60" s="251"/>
    </row>
    <row r="61" spans="2:19" s="24" customFormat="1" x14ac:dyDescent="0.45">
      <c r="C61" s="32"/>
      <c r="D61" s="24" t="s">
        <v>48</v>
      </c>
      <c r="E61" s="253">
        <v>4.570324095587412</v>
      </c>
      <c r="F61" s="258"/>
      <c r="G61" s="253">
        <v>4.0703240955874049</v>
      </c>
      <c r="H61" s="258"/>
      <c r="I61" s="253">
        <v>3.4268742491861799</v>
      </c>
      <c r="J61" s="258"/>
      <c r="K61" s="253">
        <v>3.0946244975485424</v>
      </c>
      <c r="L61" s="258"/>
      <c r="M61" s="253">
        <v>4.570324095587412</v>
      </c>
      <c r="N61" s="258"/>
      <c r="O61" s="253">
        <v>4.0703240955874049</v>
      </c>
      <c r="P61" s="258"/>
      <c r="Q61" s="253">
        <v>3.94106483098397</v>
      </c>
      <c r="R61" s="258"/>
      <c r="S61" s="253" t="e">
        <f>Hypothetical!G115</f>
        <v>#REF!</v>
      </c>
    </row>
    <row r="62" spans="2:19" s="24" customFormat="1" ht="6.75" customHeight="1" x14ac:dyDescent="0.45">
      <c r="E62" s="249"/>
      <c r="G62" s="249"/>
      <c r="I62" s="249"/>
      <c r="K62" s="249"/>
      <c r="M62" s="249"/>
      <c r="O62" s="249"/>
      <c r="Q62" s="249"/>
    </row>
    <row r="63" spans="2:19" s="24" customFormat="1" x14ac:dyDescent="0.3">
      <c r="B63" s="35" t="s">
        <v>197</v>
      </c>
      <c r="C63" s="39"/>
      <c r="D63" s="243"/>
      <c r="E63" s="254"/>
      <c r="F63" s="242"/>
      <c r="G63" s="254"/>
      <c r="H63" s="242"/>
      <c r="I63" s="254"/>
      <c r="J63" s="242"/>
      <c r="K63" s="254"/>
      <c r="L63" s="242"/>
      <c r="M63" s="254"/>
      <c r="N63" s="242"/>
      <c r="O63" s="254"/>
      <c r="P63" s="242"/>
      <c r="Q63" s="254"/>
      <c r="R63" s="242"/>
      <c r="S63" s="242"/>
    </row>
    <row r="64" spans="2:19" s="24" customFormat="1" ht="6.75" customHeight="1" x14ac:dyDescent="0.45">
      <c r="E64" s="249"/>
      <c r="G64" s="249"/>
      <c r="I64" s="249"/>
      <c r="K64" s="249"/>
      <c r="M64" s="249"/>
      <c r="O64" s="249"/>
      <c r="Q64" s="249"/>
    </row>
    <row r="65" spans="4:19" s="24" customFormat="1" x14ac:dyDescent="0.3">
      <c r="D65" s="24" t="s">
        <v>51</v>
      </c>
      <c r="E65" s="253">
        <v>54</v>
      </c>
      <c r="F65" s="30"/>
      <c r="G65" s="253">
        <v>54</v>
      </c>
      <c r="I65" s="253">
        <v>54</v>
      </c>
      <c r="K65" s="253">
        <v>30</v>
      </c>
      <c r="M65" s="253">
        <v>54</v>
      </c>
      <c r="O65" s="253">
        <v>54</v>
      </c>
      <c r="Q65" s="253">
        <v>54</v>
      </c>
      <c r="S65" s="253" t="e">
        <f>Hypothetical!E136</f>
        <v>#DIV/0!</v>
      </c>
    </row>
    <row r="66" spans="4:19" s="24" customFormat="1" x14ac:dyDescent="0.3">
      <c r="D66" s="24" t="s">
        <v>52</v>
      </c>
      <c r="E66" s="253">
        <v>74.888447928823396</v>
      </c>
      <c r="F66" s="30"/>
      <c r="G66" s="253">
        <v>74.888447928823396</v>
      </c>
      <c r="I66" s="253">
        <v>74.888447928823396</v>
      </c>
      <c r="K66" s="253">
        <v>41.604693293790774</v>
      </c>
      <c r="M66" s="253">
        <v>74.888447928823396</v>
      </c>
      <c r="O66" s="253">
        <v>74.888447928823396</v>
      </c>
      <c r="Q66" s="253">
        <v>74.888447928823396</v>
      </c>
      <c r="S66" s="253" t="e">
        <f>Hypothetical!E137</f>
        <v>#DIV/0!</v>
      </c>
    </row>
    <row r="67" spans="4:19" s="24" customFormat="1" x14ac:dyDescent="0.45"/>
    <row r="68" spans="4:19" s="24" customFormat="1" x14ac:dyDescent="0.45"/>
    <row r="69" spans="4:19" s="24" customFormat="1" x14ac:dyDescent="0.45"/>
    <row r="70" spans="4:19" s="24" customFormat="1" x14ac:dyDescent="0.45"/>
    <row r="71" spans="4:19" s="24" customFormat="1" x14ac:dyDescent="0.45"/>
    <row r="72" spans="4:19" s="24" customFormat="1" x14ac:dyDescent="0.45"/>
    <row r="73" spans="4:19" s="24" customFormat="1" x14ac:dyDescent="0.45"/>
    <row r="74" spans="4:19" s="24" customFormat="1" x14ac:dyDescent="0.45"/>
    <row r="75" spans="4:19" s="24" customFormat="1" x14ac:dyDescent="0.45"/>
    <row r="76" spans="4:19" s="24" customFormat="1" x14ac:dyDescent="0.45"/>
    <row r="77" spans="4:19" s="24" customFormat="1" x14ac:dyDescent="0.45"/>
    <row r="78" spans="4:19" s="24" customFormat="1" x14ac:dyDescent="0.45"/>
    <row r="79" spans="4:19" s="24" customFormat="1" x14ac:dyDescent="0.45"/>
    <row r="80" spans="4:19" s="24" customFormat="1" x14ac:dyDescent="0.45"/>
    <row r="81" s="24" customFormat="1" x14ac:dyDescent="0.45"/>
    <row r="82" s="24" customFormat="1" x14ac:dyDescent="0.45"/>
    <row r="83" s="24" customFormat="1" x14ac:dyDescent="0.45"/>
    <row r="84" s="24" customFormat="1" x14ac:dyDescent="0.45"/>
    <row r="85" s="24" customFormat="1" x14ac:dyDescent="0.45"/>
    <row r="86" s="24" customFormat="1" x14ac:dyDescent="0.45"/>
    <row r="87" s="24" customFormat="1" x14ac:dyDescent="0.45"/>
    <row r="88" s="24" customFormat="1" x14ac:dyDescent="0.45"/>
    <row r="89" s="24" customFormat="1" x14ac:dyDescent="0.45"/>
    <row r="90" s="24" customFormat="1" x14ac:dyDescent="0.45"/>
    <row r="91" s="24" customFormat="1" x14ac:dyDescent="0.45"/>
    <row r="92" s="24" customFormat="1" x14ac:dyDescent="0.45"/>
    <row r="93" s="24" customFormat="1" x14ac:dyDescent="0.45"/>
    <row r="94" s="24" customFormat="1" x14ac:dyDescent="0.45"/>
    <row r="95" s="24" customFormat="1" x14ac:dyDescent="0.45"/>
    <row r="96" s="24" customFormat="1" x14ac:dyDescent="0.45"/>
    <row r="97" s="24" customFormat="1" x14ac:dyDescent="0.45"/>
    <row r="98" s="24" customFormat="1" x14ac:dyDescent="0.45"/>
    <row r="99" s="24" customFormat="1" x14ac:dyDescent="0.45"/>
    <row r="100" s="24" customFormat="1" x14ac:dyDescent="0.45"/>
    <row r="101" s="24" customFormat="1" x14ac:dyDescent="0.45"/>
    <row r="102" s="24" customFormat="1" x14ac:dyDescent="0.45"/>
    <row r="103" s="24" customFormat="1" x14ac:dyDescent="0.45"/>
    <row r="104" s="24" customFormat="1" x14ac:dyDescent="0.45"/>
    <row r="105" s="24" customFormat="1" x14ac:dyDescent="0.45"/>
    <row r="106" s="24" customFormat="1" x14ac:dyDescent="0.45"/>
    <row r="107" s="24" customFormat="1" x14ac:dyDescent="0.45"/>
    <row r="108" s="24" customFormat="1" x14ac:dyDescent="0.45"/>
    <row r="109" s="24" customFormat="1" x14ac:dyDescent="0.45"/>
    <row r="110" s="24" customFormat="1" x14ac:dyDescent="0.45"/>
    <row r="111" s="24" customFormat="1" x14ac:dyDescent="0.45"/>
    <row r="112" s="24" customFormat="1" x14ac:dyDescent="0.45"/>
    <row r="113" s="24" customFormat="1" x14ac:dyDescent="0.45"/>
    <row r="114" s="24" customFormat="1" x14ac:dyDescent="0.45"/>
    <row r="115" s="24" customFormat="1" x14ac:dyDescent="0.45"/>
    <row r="116" s="24" customFormat="1" x14ac:dyDescent="0.45"/>
    <row r="117" s="24" customFormat="1" x14ac:dyDescent="0.45"/>
    <row r="118" s="24" customFormat="1" x14ac:dyDescent="0.45"/>
    <row r="119" s="24" customFormat="1" x14ac:dyDescent="0.45"/>
    <row r="120" s="24" customFormat="1" x14ac:dyDescent="0.45"/>
    <row r="121" s="24" customFormat="1" x14ac:dyDescent="0.45"/>
    <row r="122" s="24" customFormat="1" x14ac:dyDescent="0.45"/>
    <row r="123" s="24" customFormat="1" x14ac:dyDescent="0.45"/>
    <row r="124" s="24" customFormat="1" x14ac:dyDescent="0.45"/>
    <row r="125" s="24" customFormat="1" x14ac:dyDescent="0.45"/>
    <row r="126" s="24" customFormat="1" x14ac:dyDescent="0.45"/>
    <row r="127" s="24" customFormat="1" x14ac:dyDescent="0.45"/>
    <row r="128" s="24" customFormat="1" x14ac:dyDescent="0.45"/>
    <row r="129" s="24" customFormat="1" x14ac:dyDescent="0.45"/>
    <row r="130" s="24" customFormat="1" x14ac:dyDescent="0.45"/>
    <row r="131" s="24" customFormat="1" x14ac:dyDescent="0.45"/>
  </sheetData>
  <pageMargins left="0.7" right="0.7" top="0.75" bottom="0.75" header="0.3" footer="0.3"/>
  <pageSetup paperSize="9" scale="70" orientation="landscape"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Cover</vt:lpstr>
      <vt:lpstr>Key Features</vt:lpstr>
      <vt:lpstr>Assumptions</vt:lpstr>
      <vt:lpstr>Hypothetical</vt:lpstr>
      <vt:lpstr>Sensitivities</vt:lpstr>
      <vt:lpstr>Hypothetical!Print_Area</vt:lpstr>
      <vt:lpstr>Sensitivities!Print_Area</vt:lpstr>
      <vt:lpstr>Hypothetical!Print_Titles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EHo@wingategroup.com.au</dc:creator>
  <cp:lastModifiedBy>Matthew He</cp:lastModifiedBy>
  <cp:lastPrinted>2024-03-18T06:19:44Z</cp:lastPrinted>
  <dcterms:created xsi:type="dcterms:W3CDTF">2012-01-03T01:19:58Z</dcterms:created>
  <dcterms:modified xsi:type="dcterms:W3CDTF">2025-08-14T12:45:16Z</dcterms:modified>
</cp:coreProperties>
</file>